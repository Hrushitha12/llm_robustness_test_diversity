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rush\Downloads\"/>
    </mc:Choice>
  </mc:AlternateContent>
  <xr:revisionPtr revIDLastSave="0" documentId="13_ncr:1_{16364AE0-3B3E-4E6E-BCD0-BF1F3897723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TeaStore Binary Matrix" sheetId="1" r:id="rId1"/>
    <sheet name="OTel Binary Matrix" sheetId="2" r:id="rId2"/>
    <sheet name="Jaccard Analysis" sheetId="3" r:id="rId3"/>
    <sheet name="TeaStore Analysis" sheetId="4" r:id="rId4"/>
    <sheet name="OTel &amp; Cross-SUT Analysi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9" i="2" l="1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U18" i="2"/>
  <c r="V18" i="2" s="1"/>
  <c r="U17" i="2"/>
  <c r="V17" i="2" s="1"/>
  <c r="U16" i="2"/>
  <c r="V16" i="2" s="1"/>
  <c r="V15" i="2"/>
  <c r="U15" i="2"/>
  <c r="V14" i="2"/>
  <c r="U14" i="2"/>
  <c r="U13" i="2"/>
  <c r="V13" i="2" s="1"/>
  <c r="U12" i="2"/>
  <c r="V12" i="2" s="1"/>
  <c r="U11" i="2"/>
  <c r="V11" i="2" s="1"/>
  <c r="U10" i="2"/>
  <c r="V10" i="2" s="1"/>
  <c r="U9" i="2"/>
  <c r="V9" i="2" s="1"/>
  <c r="V8" i="2"/>
  <c r="U8" i="2"/>
  <c r="U7" i="2"/>
  <c r="V7" i="2" s="1"/>
  <c r="U6" i="2"/>
  <c r="V6" i="2" s="1"/>
  <c r="U5" i="2"/>
  <c r="V5" i="2" s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W13" i="1"/>
  <c r="X13" i="1" s="1"/>
  <c r="X12" i="1"/>
  <c r="W12" i="1"/>
  <c r="X11" i="1"/>
  <c r="W11" i="1"/>
  <c r="X10" i="1"/>
  <c r="W10" i="1"/>
  <c r="X9" i="1"/>
  <c r="W9" i="1"/>
  <c r="W8" i="1"/>
  <c r="X8" i="1" s="1"/>
  <c r="W7" i="1"/>
  <c r="X7" i="1" s="1"/>
  <c r="X6" i="1"/>
  <c r="W6" i="1"/>
  <c r="X5" i="1"/>
  <c r="W5" i="1"/>
</calcChain>
</file>

<file path=xl/sharedStrings.xml><?xml version="1.0" encoding="utf-8"?>
<sst xmlns="http://schemas.openxmlformats.org/spreadsheetml/2006/main" count="587" uniqueCount="282">
  <si>
    <t>TeaStore — LLM Robustness Test Diversity: Binary FM Matrix (7 Strategies × 3 Models)</t>
  </si>
  <si>
    <t>ZeroShot</t>
  </si>
  <si>
    <t>Structured</t>
  </si>
  <si>
    <t>FewShot</t>
  </si>
  <si>
    <t>CoT</t>
  </si>
  <si>
    <t>Self</t>
  </si>
  <si>
    <t>Guided</t>
  </si>
  <si>
    <t>GuidedFewShot</t>
  </si>
  <si>
    <t>FM</t>
  </si>
  <si>
    <t>Description</t>
  </si>
  <si>
    <t>D-ZS</t>
  </si>
  <si>
    <t>E-ZS</t>
  </si>
  <si>
    <t>C-Str</t>
  </si>
  <si>
    <t>D-Str</t>
  </si>
  <si>
    <t>E-Str</t>
  </si>
  <si>
    <t>C-FS</t>
  </si>
  <si>
    <t>D-FS</t>
  </si>
  <si>
    <t>E-FS</t>
  </si>
  <si>
    <t>C-CoT</t>
  </si>
  <si>
    <t>D-CoT</t>
  </si>
  <si>
    <t>E-CoT</t>
  </si>
  <si>
    <t>C-Self</t>
  </si>
  <si>
    <t>D-Self</t>
  </si>
  <si>
    <t>E-Self</t>
  </si>
  <si>
    <t>C-Gui</t>
  </si>
  <si>
    <t>D-Gui</t>
  </si>
  <si>
    <t>E-Gui</t>
  </si>
  <si>
    <t>C-GFS</t>
  </si>
  <si>
    <t>D-GFS</t>
  </si>
  <si>
    <t>E-GFS</t>
  </si>
  <si>
    <t>Found in N</t>
  </si>
  <si>
    <t>% Runs</t>
  </si>
  <si>
    <t>FM1</t>
  </si>
  <si>
    <t>FM1: product — non-numeric string id</t>
  </si>
  <si>
    <t>FM2</t>
  </si>
  <si>
    <t>FM2: product — empty string id</t>
  </si>
  <si>
    <t>FM3</t>
  </si>
  <si>
    <t>FM3: cartAdd — productid key absent</t>
  </si>
  <si>
    <t>FM4</t>
  </si>
  <si>
    <t>FM4: cartAdd — productid value empty</t>
  </si>
  <si>
    <t>FM5</t>
  </si>
  <si>
    <t>FM5: cartAdd — invalid string productid</t>
  </si>
  <si>
    <t>FM6</t>
  </si>
  <si>
    <t>FM6: cartRemove — productid key absent</t>
  </si>
  <si>
    <t>FM7</t>
  </si>
  <si>
    <t>FM7: cartRemove — productid value empty</t>
  </si>
  <si>
    <t>FM8</t>
  </si>
  <si>
    <t>FM8: cartRemove — invalid/non-existent id</t>
  </si>
  <si>
    <t>FM9</t>
  </si>
  <si>
    <t>FM9: cartRemove — unauthenticated session</t>
  </si>
  <si>
    <t>Total FMs per run</t>
  </si>
  <si>
    <t>NOTES:</t>
  </si>
  <si>
    <t>• C-ZeroShot: Not run on TeaStore (excluded from study)</t>
  </si>
  <si>
    <t>• D-ZeroShot: 0 FMs — all tests PASSed (no failures triggered)</t>
  </si>
  <si>
    <t>• D-Self: 0 FMs — model omitted assertNoServerError() oracle (tests trivially passed)</t>
  </si>
  <si>
    <t>• Green-highlighted columns = Guided strategies (new, using DSN 2007 mutation taxonomy)</t>
  </si>
  <si>
    <t>• FM definitions verified from TeaStore Java servlet source code</t>
  </si>
  <si>
    <t>• Each FM maps to a unique (endpoint, parameter, mutation-type) triple</t>
  </si>
  <si>
    <t>OTel Astronomy Shop — LLM Robustness Test Diversity: Binary FM Matrix (7 Strategies × 3 Models)</t>
  </si>
  <si>
    <t>FM1: products — invalid format ID</t>
  </si>
  <si>
    <t>FM2: products — extremely long ID (500+)</t>
  </si>
  <si>
    <t>FM3: cart — item field null</t>
  </si>
  <si>
    <t>FM4: cart — item/fields missing entirely</t>
  </si>
  <si>
    <t>FM5: checkout — empty userId</t>
  </si>
  <si>
    <t>FM6: checkout — invalid currency code</t>
  </si>
  <si>
    <t>FM7: checkout — empty/missing CC number</t>
  </si>
  <si>
    <t>FM8: checkout — expired CC year</t>
  </si>
  <si>
    <t>FM9: checkout — empty street address</t>
  </si>
  <si>
    <t>FM10</t>
  </si>
  <si>
    <t>FM10: checkout — invalid email format</t>
  </si>
  <si>
    <t>FM11</t>
  </si>
  <si>
    <t>FM11: checkout — wrong CC number format</t>
  </si>
  <si>
    <t>FM12</t>
  </si>
  <si>
    <t>FM12: checkout — empty userCurrency</t>
  </si>
  <si>
    <t>FM13</t>
  </si>
  <si>
    <t>FM13: checkout — negative card month</t>
  </si>
  <si>
    <t>FM14</t>
  </si>
  <si>
    <t>FM14: checkout — empty/invalid cart</t>
  </si>
  <si>
    <t>• Excluded runs: C-ZeroShot (compile fail), C-Self (malformed output), E-Structured (system crash ×2)</t>
  </si>
  <si>
    <t>• D-Self: 0 FMs — model omitted assertNoServerError() oracle</t>
  </si>
  <si>
    <t>• Currency (POST /api/currency) and Shipping (POST /api/shipping) always return HTTP 504 in available infrastructure</t>
  </si>
  <si>
    <t>• Checkout FMs (FM5–FM14) classified by intended input mutation verified from Java source code</t>
  </si>
  <si>
    <t>• One D-GuidedFewShot checkout test PASSed, confirming service performs input validation independently</t>
  </si>
  <si>
    <t>• E-GuidedFewShot also found cart quantity overflow (Integer.MAX_VALUE+1 → 500), not in FM1–FM14 (noted in Discussion)</t>
  </si>
  <si>
    <t>Jaccard Similarity Analysis — Same Prompt, Different Models</t>
  </si>
  <si>
    <t>TEASTORE</t>
  </si>
  <si>
    <t>Strategy</t>
  </si>
  <si>
    <t>Pair</t>
  </si>
  <si>
    <t>Jaccard</t>
  </si>
  <si>
    <t>Shared FMs</t>
  </si>
  <si>
    <t>A only</t>
  </si>
  <si>
    <t>B only</t>
  </si>
  <si>
    <t>|A∪B|</t>
  </si>
  <si>
    <t>Interpretation</t>
  </si>
  <si>
    <t>D-ZS ↔ E-ZS</t>
  </si>
  <si>
    <t>∅</t>
  </si>
  <si>
    <t>No overlap</t>
  </si>
  <si>
    <t>ZeroShot Avg</t>
  </si>
  <si>
    <t>C-Str ↔ D-Str</t>
  </si>
  <si>
    <t>FM1, FM8</t>
  </si>
  <si>
    <t>Identical</t>
  </si>
  <si>
    <t>C-Str ↔ E-Str</t>
  </si>
  <si>
    <t>D-Str ↔ E-Str</t>
  </si>
  <si>
    <t>Structured Avg</t>
  </si>
  <si>
    <t>C-FS ↔ D-FS</t>
  </si>
  <si>
    <t>FM4, FM5, FM7, FM8</t>
  </si>
  <si>
    <t>FM3, FM6</t>
  </si>
  <si>
    <t>Low</t>
  </si>
  <si>
    <t>C-FS ↔ E-FS</t>
  </si>
  <si>
    <t>FM4, FM8</t>
  </si>
  <si>
    <t>FM1, FM5, FM7</t>
  </si>
  <si>
    <t>Moderate</t>
  </si>
  <si>
    <t>D-FS ↔ E-FS</t>
  </si>
  <si>
    <t>FM1, FM3, FM6</t>
  </si>
  <si>
    <t>FM2, FM4, FM8</t>
  </si>
  <si>
    <t>FewShot Avg</t>
  </si>
  <si>
    <t>C-CoT ↔ D-CoT</t>
  </si>
  <si>
    <t>FM4, FM7, FM9</t>
  </si>
  <si>
    <t>FM2, FM3</t>
  </si>
  <si>
    <t>C-CoT ↔ E-CoT</t>
  </si>
  <si>
    <t>FM1, FM7</t>
  </si>
  <si>
    <t>FM4, FM9</t>
  </si>
  <si>
    <t>FM3, FM5</t>
  </si>
  <si>
    <t>D-CoT ↔ E-CoT</t>
  </si>
  <si>
    <t>FM1, FM3</t>
  </si>
  <si>
    <t>FM5, FM7</t>
  </si>
  <si>
    <t>CoT Avg</t>
  </si>
  <si>
    <t>C-Self ↔ D-Self</t>
  </si>
  <si>
    <t>FM1, FM5, FM8, FM9</t>
  </si>
  <si>
    <t>C-Self ↔ E-Self</t>
  </si>
  <si>
    <t>FM1, FM5</t>
  </si>
  <si>
    <t>FM8, FM9</t>
  </si>
  <si>
    <t>D-Self ↔ E-Self</t>
  </si>
  <si>
    <t>FM1, FM3, FM5</t>
  </si>
  <si>
    <t>Self Avg</t>
  </si>
  <si>
    <t>C-Gui ↔ D-Gui</t>
  </si>
  <si>
    <t>C-Gui ↔ E-Gui</t>
  </si>
  <si>
    <t>D-Gui ↔ E-Gui</t>
  </si>
  <si>
    <t>FM2, FM4</t>
  </si>
  <si>
    <t>Guided Avg</t>
  </si>
  <si>
    <t>C-GFS ↔ D-GFS</t>
  </si>
  <si>
    <t>FM2, FM8</t>
  </si>
  <si>
    <t>FM3, FM4, FM7</t>
  </si>
  <si>
    <t>C-GFS ↔ E-GFS</t>
  </si>
  <si>
    <t>FM6, FM8</t>
  </si>
  <si>
    <t>FM3, FM7</t>
  </si>
  <si>
    <t>D-GFS ↔ E-GFS</t>
  </si>
  <si>
    <t>FM2, FM3, FM7</t>
  </si>
  <si>
    <t>High similarity</t>
  </si>
  <si>
    <t>GuidedFewShot Avg</t>
  </si>
  <si>
    <t>OTEL ASTRONOMY SHOP</t>
  </si>
  <si>
    <t>FM1, FM14</t>
  </si>
  <si>
    <t>FM4, FM7</t>
  </si>
  <si>
    <t>FM1, FM2, FM3, FM5, FM6, FM7, FM8</t>
  </si>
  <si>
    <t>FM11, FM12, FM9</t>
  </si>
  <si>
    <t>FM10, FM13</t>
  </si>
  <si>
    <t>FM1, FM9</t>
  </si>
  <si>
    <t>FM11, FM12</t>
  </si>
  <si>
    <t>FM1, FM2</t>
  </si>
  <si>
    <t>FM10, FM11, FM3, FM6</t>
  </si>
  <si>
    <t>FM1, FM2, FM4</t>
  </si>
  <si>
    <t>FM10, FM3</t>
  </si>
  <si>
    <t>FM1, FM10, FM2, FM3</t>
  </si>
  <si>
    <t>FM11, FM6</t>
  </si>
  <si>
    <t>FM1, FM3, FM4, FM5, FM6, FM7</t>
  </si>
  <si>
    <t>FM3, FM4, FM7, FM9</t>
  </si>
  <si>
    <t>FM10, FM11, FM12, FM13, FM5, FM7, FM8</t>
  </si>
  <si>
    <t>FM1, FM12, FM5</t>
  </si>
  <si>
    <t>FM12, FM5</t>
  </si>
  <si>
    <t>FM10, FM11, FM13, FM7, FM8, FM9</t>
  </si>
  <si>
    <t>CROSS-SUT JACCARD COMPARISON</t>
  </si>
  <si>
    <t>TeaStore Avg J</t>
  </si>
  <si>
    <t>OTel Avg J</t>
  </si>
  <si>
    <t>Cross-SUT Avg</t>
  </si>
  <si>
    <t>Diversity Level</t>
  </si>
  <si>
    <t>High diversity</t>
  </si>
  <si>
    <t>Collapsed</t>
  </si>
  <si>
    <t>Most diverse</t>
  </si>
  <si>
    <t>TeaStore — Results, Insights &amp; Findings</t>
  </si>
  <si>
    <t>COVERAGE SUMMARY</t>
  </si>
  <si>
    <t>Best Single-Run</t>
  </si>
  <si>
    <t>Best Model</t>
  </si>
  <si>
    <t>Union Coverage</t>
  </si>
  <si>
    <t>Union FMs</t>
  </si>
  <si>
    <t>1/9 (11%)</t>
  </si>
  <si>
    <t>2/9 (22%)</t>
  </si>
  <si>
    <t>5/9 (56%)</t>
  </si>
  <si>
    <t>8/9 (89%)</t>
  </si>
  <si>
    <t>FM1, FM2, FM3, FM4, FM5, FM6, FM7, FM8</t>
  </si>
  <si>
    <t>4/9 (44%)</t>
  </si>
  <si>
    <t>7/9 (78%)</t>
  </si>
  <si>
    <t>FM1, FM2, FM3, FM4, FM5, FM7, FM9</t>
  </si>
  <si>
    <t>FM1, FM3, FM5, FM8, FM9</t>
  </si>
  <si>
    <t>FM2, FM4, FM5, FM7</t>
  </si>
  <si>
    <t>6/9 (67%)</t>
  </si>
  <si>
    <t>FM2, FM3, FM4, FM6, FM7, FM8</t>
  </si>
  <si>
    <t>KEY FINDINGS</t>
  </si>
  <si>
    <t>R1</t>
  </si>
  <si>
    <t>Structured collapse: Jaccard = 1.00 — all 3 models find identical FM sets {FM1, FM8}</t>
  </si>
  <si>
    <t>R2</t>
  </si>
  <si>
    <t>D-Self = 0 FMs — qwen2.5-coder:32b omitted assertNoServerError() oracle with Self-Refine</t>
  </si>
  <si>
    <t>R5</t>
  </si>
  <si>
    <t>Prompt strategy &gt; model size: changing strategy produces more FM variation than changing model</t>
  </si>
  <si>
    <t>G1</t>
  </si>
  <si>
    <t>Guided avoids Structured collapse: avg J = 0.1667 vs Structured J = 1.00</t>
  </si>
  <si>
    <t>G2</t>
  </si>
  <si>
    <t>GuidedFewShot union = 6/9 (67%) — highest of any TeaStore strategy</t>
  </si>
  <si>
    <t>G3</t>
  </si>
  <si>
    <t>Few-shot examples unlock key-absent mutations: FM3/FM6 missed by Guided, found by GuidedFewShot</t>
  </si>
  <si>
    <t>G4</t>
  </si>
  <si>
    <t>Model D transforms: D-Self=0% → D-GuidedFewShot=5/9 (56%)</t>
  </si>
  <si>
    <t>G5</t>
  </si>
  <si>
    <t>Unconstrained, D generates most tests: D-Guided=25, C=7, E=9</t>
  </si>
  <si>
    <t>OTel Astronomy Shop — Results, Insights &amp; Cross-SUT Analysis</t>
  </si>
  <si>
    <t>OTEL COVERAGE SUMMARY</t>
  </si>
  <si>
    <t>4/14 (29%)</t>
  </si>
  <si>
    <t>5/14 (36%)</t>
  </si>
  <si>
    <t>FM1, FM11, FM14, FM4, FM7</t>
  </si>
  <si>
    <t>7/14 (50%)</t>
  </si>
  <si>
    <t>6/14 (43%)</t>
  </si>
  <si>
    <t>FM1, FM10, FM11, FM12, FM13, FM9</t>
  </si>
  <si>
    <t>FM1, FM10, FM11, FM2, FM3, FM4, FM6</t>
  </si>
  <si>
    <t>FM1, FM11, FM3, FM4, FM5, FM7, FM9</t>
  </si>
  <si>
    <t>8/14 (57%)</t>
  </si>
  <si>
    <t>9/14 (64%)</t>
  </si>
  <si>
    <t>FM1, FM10, FM11, FM12, FM13, FM5, FM7, FM8, FM9</t>
  </si>
  <si>
    <t>CROSS-SUT UNION COVERAGE COMPARISON</t>
  </si>
  <si>
    <t>TeaStore Union</t>
  </si>
  <si>
    <t>OTel Union</t>
  </si>
  <si>
    <t>Replicated?</t>
  </si>
  <si>
    <t>23%</t>
  </si>
  <si>
    <t>—</t>
  </si>
  <si>
    <t>36%</t>
  </si>
  <si>
    <t>66%</t>
  </si>
  <si>
    <t>64%</t>
  </si>
  <si>
    <t>49%</t>
  </si>
  <si>
    <t>47%</t>
  </si>
  <si>
    <t>YES</t>
  </si>
  <si>
    <t>65%</t>
  </si>
  <si>
    <t>REPLICATED FINDINGS (10/10)</t>
  </si>
  <si>
    <t>ID</t>
  </si>
  <si>
    <t>Finding</t>
  </si>
  <si>
    <t>TeaStore Evidence</t>
  </si>
  <si>
    <t>OTel Evidence</t>
  </si>
  <si>
    <t>Status</t>
  </si>
  <si>
    <t>Structured collapse</t>
  </si>
  <si>
    <t>J = 1.00</t>
  </si>
  <si>
    <t>Replicated</t>
  </si>
  <si>
    <t>D-Self = 0 FMs</t>
  </si>
  <si>
    <t>0/9</t>
  </si>
  <si>
    <t>0/14</t>
  </si>
  <si>
    <t>R3</t>
  </si>
  <si>
    <t>Emergent security-aware generation</t>
  </si>
  <si>
    <t>D-CoT XSS</t>
  </si>
  <si>
    <t>C/D/E-CoT whitespace, E-FS XSS</t>
  </si>
  <si>
    <t>R4</t>
  </si>
  <si>
    <t>No complete coverage</t>
  </si>
  <si>
    <t>Max 56%</t>
  </si>
  <si>
    <t>Max 50%</t>
  </si>
  <si>
    <t>Prompt &gt; model size</t>
  </si>
  <si>
    <t>Confirmed</t>
  </si>
  <si>
    <t>Guided avoids Structured collapse</t>
  </si>
  <si>
    <t>J=0.17 vs 1.00</t>
  </si>
  <si>
    <t>J=0.43 vs 1.00</t>
  </si>
  <si>
    <t>Few-shot examples improve coverage</t>
  </si>
  <si>
    <t>Gui→GFS: +2 FMs</t>
  </si>
  <si>
    <t>GuidedFewShot = highest union</t>
  </si>
  <si>
    <t>67% (new best)</t>
  </si>
  <si>
    <t>64% (new best)</t>
  </si>
  <si>
    <t>Model D transforms with context</t>
  </si>
  <si>
    <t>D-Self=0→D-GFS=56%</t>
  </si>
  <si>
    <t>D-Self=0→D-GFS=57%</t>
  </si>
  <si>
    <t>D generates most tests</t>
  </si>
  <si>
    <t>D=25 vs C=7,E=9</t>
  </si>
  <si>
    <t>D=60 vs C=12,E=12</t>
  </si>
  <si>
    <t>NOTES &amp; THREATS TO VALIDITY</t>
  </si>
  <si>
    <t>1. OTel checkout FMs (FM5–FM14) classified by intended input mutation from Java source, not by verified causation.</t>
  </si>
  <si>
    <t>2. Currency/shipping services always return 504 in available infrastructure (docker-compose.minimal.yml).</t>
  </si>
  <si>
    <t>3. One D-GFS checkout test PASSed, partially validating that input validation occurs pre-downstream-call.</t>
  </si>
  <si>
    <t>4. Single execution per model-strategy pair — intra-run variance not measured (future work).</t>
  </si>
  <si>
    <t>5. E-GFS discovered cart overflow (Integer.MAX_VALUE+1) not in FM1–14 — taxonomy can surface new FMs.</t>
  </si>
  <si>
    <t>6. FM definitions are specification-derived: each maps to (endpoint, parameter, mutation-type) from DSN 2007 taxonomy.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</si>
</sst>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E2761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4748B"/>
      <name val="Arial"/>
      <charset val="1"/>
    </font>
    <font>
      <b/>
      <sz val="12"/>
      <color rgb="FF1E2761"/>
      <name val="Arial"/>
      <charset val="1"/>
    </font>
    <font>
      <b/>
      <sz val="11"/>
      <color rgb="FF64748B"/>
      <name val="Arial"/>
      <charset val="1"/>
    </font>
    <font>
      <sz val="11"/>
      <color rgb="FFFF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BEAFE"/>
        <bgColor rgb="FFF1F5F9"/>
      </patternFill>
    </fill>
    <fill>
      <patternFill patternType="solid">
        <fgColor rgb="FFD1FAE5"/>
        <bgColor rgb="FFBBF7D0"/>
      </patternFill>
    </fill>
    <fill>
      <patternFill patternType="solid">
        <fgColor rgb="FF1E2761"/>
        <bgColor rgb="FF333333"/>
      </patternFill>
    </fill>
    <fill>
      <patternFill patternType="solid">
        <fgColor rgb="FFF1F5F9"/>
        <bgColor rgb="FFFFFFFF"/>
      </patternFill>
    </fill>
    <fill>
      <patternFill patternType="solid">
        <fgColor rgb="FFFECACA"/>
        <bgColor rgb="FFCBD5E1"/>
      </patternFill>
    </fill>
    <fill>
      <patternFill patternType="solid">
        <fgColor rgb="FFBBF7D0"/>
        <bgColor rgb="FFD1FAE5"/>
      </patternFill>
    </fill>
    <fill>
      <patternFill patternType="solid">
        <fgColor rgb="FFFEF3C7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/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BF7D0"/>
      <rgbColor rgb="FFD1FAE5"/>
      <rgbColor rgb="FFF1F5F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zoomScaleNormal="100" workbookViewId="0">
      <selection activeCell="D32" sqref="D32"/>
    </sheetView>
  </sheetViews>
  <sheetFormatPr defaultColWidth="8.6640625" defaultRowHeight="14.4" x14ac:dyDescent="0.3"/>
  <cols>
    <col min="1" max="1" width="6" customWidth="1"/>
    <col min="2" max="2" width="38" customWidth="1"/>
    <col min="3" max="5" width="7" customWidth="1"/>
    <col min="6" max="6" width="9.6640625" customWidth="1"/>
    <col min="7" max="22" width="7" customWidth="1"/>
    <col min="23" max="23" width="10.109375" customWidth="1"/>
    <col min="24" max="24" width="7" customWidth="1"/>
  </cols>
  <sheetData>
    <row r="1" spans="1:24" ht="17.399999999999999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3" spans="1:24" x14ac:dyDescent="0.3">
      <c r="C3" s="22" t="s">
        <v>1</v>
      </c>
      <c r="D3" s="22"/>
      <c r="E3" s="22" t="s">
        <v>2</v>
      </c>
      <c r="F3" s="22"/>
      <c r="G3" s="22"/>
      <c r="H3" s="22" t="s">
        <v>3</v>
      </c>
      <c r="I3" s="22"/>
      <c r="J3" s="22"/>
      <c r="K3" s="22" t="s">
        <v>4</v>
      </c>
      <c r="L3" s="22"/>
      <c r="M3" s="22"/>
      <c r="N3" s="22" t="s">
        <v>5</v>
      </c>
      <c r="O3" s="22"/>
      <c r="P3" s="22"/>
      <c r="Q3" s="23" t="s">
        <v>6</v>
      </c>
      <c r="R3" s="23"/>
      <c r="S3" s="23"/>
      <c r="T3" s="23" t="s">
        <v>7</v>
      </c>
      <c r="U3" s="23"/>
      <c r="V3" s="23"/>
    </row>
    <row r="4" spans="1:24" x14ac:dyDescent="0.3">
      <c r="A4" s="4" t="s">
        <v>8</v>
      </c>
      <c r="B4" s="5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</row>
    <row r="5" spans="1:24" x14ac:dyDescent="0.3">
      <c r="A5" s="7" t="s">
        <v>32</v>
      </c>
      <c r="B5" s="8" t="s">
        <v>33</v>
      </c>
      <c r="C5" s="9">
        <v>0</v>
      </c>
      <c r="D5" s="9">
        <v>0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9">
        <v>0</v>
      </c>
      <c r="K5" s="10">
        <v>1</v>
      </c>
      <c r="L5" s="10">
        <v>1</v>
      </c>
      <c r="M5" s="10">
        <v>1</v>
      </c>
      <c r="N5" s="10">
        <v>1</v>
      </c>
      <c r="O5" s="9">
        <v>0</v>
      </c>
      <c r="P5" s="10">
        <v>1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11">
        <f t="shared" ref="W5:W13" si="0">SUM(C5:V5)</f>
        <v>10</v>
      </c>
      <c r="X5" s="11">
        <f t="shared" ref="X5:X13" si="1">W5/20</f>
        <v>0.5</v>
      </c>
    </row>
    <row r="6" spans="1:24" x14ac:dyDescent="0.3">
      <c r="A6" s="7" t="s">
        <v>34</v>
      </c>
      <c r="B6" s="8" t="s">
        <v>35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10">
        <v>1</v>
      </c>
      <c r="K6" s="9">
        <v>0</v>
      </c>
      <c r="L6" s="10">
        <v>1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12">
        <v>1</v>
      </c>
      <c r="S6" s="9">
        <v>0</v>
      </c>
      <c r="T6" s="12">
        <v>1</v>
      </c>
      <c r="U6" s="12">
        <v>1</v>
      </c>
      <c r="V6" s="12">
        <v>1</v>
      </c>
      <c r="W6" s="11">
        <f t="shared" si="0"/>
        <v>6</v>
      </c>
      <c r="X6" s="11">
        <f t="shared" si="1"/>
        <v>0.3</v>
      </c>
    </row>
    <row r="7" spans="1:24" x14ac:dyDescent="0.3">
      <c r="A7" s="7" t="s">
        <v>36</v>
      </c>
      <c r="B7" s="8" t="s">
        <v>37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10">
        <v>1</v>
      </c>
      <c r="J7" s="9">
        <v>0</v>
      </c>
      <c r="K7" s="9">
        <v>0</v>
      </c>
      <c r="L7" s="10">
        <v>1</v>
      </c>
      <c r="M7" s="10">
        <v>1</v>
      </c>
      <c r="N7" s="9">
        <v>0</v>
      </c>
      <c r="O7" s="9">
        <v>0</v>
      </c>
      <c r="P7" s="10">
        <v>1</v>
      </c>
      <c r="Q7" s="9">
        <v>0</v>
      </c>
      <c r="R7" s="9">
        <v>0</v>
      </c>
      <c r="S7" s="9">
        <v>0</v>
      </c>
      <c r="T7" s="9">
        <v>0</v>
      </c>
      <c r="U7" s="12">
        <v>1</v>
      </c>
      <c r="V7" s="12">
        <v>1</v>
      </c>
      <c r="W7" s="11">
        <f t="shared" si="0"/>
        <v>6</v>
      </c>
      <c r="X7" s="11">
        <f t="shared" si="1"/>
        <v>0.3</v>
      </c>
    </row>
    <row r="8" spans="1:24" x14ac:dyDescent="0.3">
      <c r="A8" s="7" t="s">
        <v>38</v>
      </c>
      <c r="B8" s="8" t="s">
        <v>39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v>1</v>
      </c>
      <c r="I8" s="9">
        <v>0</v>
      </c>
      <c r="J8" s="10">
        <v>1</v>
      </c>
      <c r="K8" s="10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12">
        <v>1</v>
      </c>
      <c r="R8" s="12">
        <v>1</v>
      </c>
      <c r="S8" s="9">
        <v>0</v>
      </c>
      <c r="T8" s="9">
        <v>0</v>
      </c>
      <c r="U8" s="12">
        <v>1</v>
      </c>
      <c r="V8" s="9">
        <v>0</v>
      </c>
      <c r="W8" s="11">
        <f t="shared" si="0"/>
        <v>6</v>
      </c>
      <c r="X8" s="11">
        <f t="shared" si="1"/>
        <v>0.3</v>
      </c>
    </row>
    <row r="9" spans="1:24" x14ac:dyDescent="0.3">
      <c r="A9" s="7" t="s">
        <v>40</v>
      </c>
      <c r="B9" s="8" t="s">
        <v>41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v>1</v>
      </c>
      <c r="I9" s="9">
        <v>0</v>
      </c>
      <c r="J9" s="9">
        <v>0</v>
      </c>
      <c r="K9" s="9">
        <v>0</v>
      </c>
      <c r="L9" s="9">
        <v>0</v>
      </c>
      <c r="M9" s="10">
        <v>1</v>
      </c>
      <c r="N9" s="10">
        <v>1</v>
      </c>
      <c r="O9" s="9">
        <v>0</v>
      </c>
      <c r="P9" s="10">
        <v>1</v>
      </c>
      <c r="Q9" s="9">
        <v>0</v>
      </c>
      <c r="R9" s="9">
        <v>0</v>
      </c>
      <c r="S9" s="12">
        <v>1</v>
      </c>
      <c r="T9" s="9">
        <v>0</v>
      </c>
      <c r="U9" s="9">
        <v>0</v>
      </c>
      <c r="V9" s="9">
        <v>0</v>
      </c>
      <c r="W9" s="11">
        <f t="shared" si="0"/>
        <v>5</v>
      </c>
      <c r="X9" s="11">
        <f t="shared" si="1"/>
        <v>0.25</v>
      </c>
    </row>
    <row r="10" spans="1:24" x14ac:dyDescent="0.3">
      <c r="A10" s="7" t="s">
        <v>42</v>
      </c>
      <c r="B10" s="8" t="s">
        <v>43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12">
        <v>1</v>
      </c>
      <c r="U10" s="9">
        <v>0</v>
      </c>
      <c r="V10" s="9">
        <v>0</v>
      </c>
      <c r="W10" s="11">
        <f t="shared" si="0"/>
        <v>2</v>
      </c>
      <c r="X10" s="11">
        <f t="shared" si="1"/>
        <v>0.1</v>
      </c>
    </row>
    <row r="11" spans="1:24" x14ac:dyDescent="0.3">
      <c r="A11" s="7" t="s">
        <v>44</v>
      </c>
      <c r="B11" s="8" t="s">
        <v>45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10">
        <v>1</v>
      </c>
      <c r="I11" s="9">
        <v>0</v>
      </c>
      <c r="J11" s="9">
        <v>0</v>
      </c>
      <c r="K11" s="10">
        <v>1</v>
      </c>
      <c r="L11" s="9">
        <v>0</v>
      </c>
      <c r="M11" s="10">
        <v>1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12">
        <v>1</v>
      </c>
      <c r="T11" s="9">
        <v>0</v>
      </c>
      <c r="U11" s="12">
        <v>1</v>
      </c>
      <c r="V11" s="12">
        <v>1</v>
      </c>
      <c r="W11" s="11">
        <f t="shared" si="0"/>
        <v>6</v>
      </c>
      <c r="X11" s="11">
        <f t="shared" si="1"/>
        <v>0.3</v>
      </c>
    </row>
    <row r="12" spans="1:24" x14ac:dyDescent="0.3">
      <c r="A12" s="7" t="s">
        <v>46</v>
      </c>
      <c r="B12" s="8" t="s">
        <v>47</v>
      </c>
      <c r="C12" s="9">
        <v>0</v>
      </c>
      <c r="D12" s="9">
        <v>0</v>
      </c>
      <c r="E12" s="10">
        <v>1</v>
      </c>
      <c r="F12" s="10">
        <v>1</v>
      </c>
      <c r="G12" s="10">
        <v>1</v>
      </c>
      <c r="H12" s="10">
        <v>1</v>
      </c>
      <c r="I12" s="9">
        <v>0</v>
      </c>
      <c r="J12" s="10">
        <v>1</v>
      </c>
      <c r="K12" s="9">
        <v>0</v>
      </c>
      <c r="L12" s="9">
        <v>0</v>
      </c>
      <c r="M12" s="9">
        <v>0</v>
      </c>
      <c r="N12" s="10">
        <v>1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12">
        <v>1</v>
      </c>
      <c r="U12" s="12">
        <v>1</v>
      </c>
      <c r="V12" s="9">
        <v>0</v>
      </c>
      <c r="W12" s="11">
        <f t="shared" si="0"/>
        <v>8</v>
      </c>
      <c r="X12" s="11">
        <f t="shared" si="1"/>
        <v>0.4</v>
      </c>
    </row>
    <row r="13" spans="1:24" ht="26.4" x14ac:dyDescent="0.3">
      <c r="A13" s="7" t="s">
        <v>48</v>
      </c>
      <c r="B13" s="8" t="s">
        <v>49</v>
      </c>
      <c r="C13" s="9">
        <v>0</v>
      </c>
      <c r="D13" s="10">
        <v>1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10">
        <v>1</v>
      </c>
      <c r="L13" s="9">
        <v>0</v>
      </c>
      <c r="M13" s="9">
        <v>0</v>
      </c>
      <c r="N13" s="10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11">
        <f t="shared" si="0"/>
        <v>3</v>
      </c>
      <c r="X13" s="11">
        <f t="shared" si="1"/>
        <v>0.15</v>
      </c>
    </row>
    <row r="14" spans="1:24" x14ac:dyDescent="0.3">
      <c r="A14" s="7"/>
      <c r="B14" s="13" t="s">
        <v>50</v>
      </c>
      <c r="C14" s="7">
        <f t="shared" ref="C14:V14" si="2">SUM(C5:C13)</f>
        <v>0</v>
      </c>
      <c r="D14" s="7">
        <f t="shared" si="2"/>
        <v>1</v>
      </c>
      <c r="E14" s="7">
        <f t="shared" si="2"/>
        <v>2</v>
      </c>
      <c r="F14" s="7">
        <f t="shared" si="2"/>
        <v>2</v>
      </c>
      <c r="G14" s="7">
        <f t="shared" si="2"/>
        <v>2</v>
      </c>
      <c r="H14" s="7">
        <f t="shared" si="2"/>
        <v>5</v>
      </c>
      <c r="I14" s="7">
        <f t="shared" si="2"/>
        <v>3</v>
      </c>
      <c r="J14" s="7">
        <f t="shared" si="2"/>
        <v>3</v>
      </c>
      <c r="K14" s="7">
        <f t="shared" si="2"/>
        <v>4</v>
      </c>
      <c r="L14" s="7">
        <f t="shared" si="2"/>
        <v>3</v>
      </c>
      <c r="M14" s="7">
        <f t="shared" si="2"/>
        <v>4</v>
      </c>
      <c r="N14" s="7">
        <f t="shared" si="2"/>
        <v>4</v>
      </c>
      <c r="O14" s="7">
        <f t="shared" si="2"/>
        <v>0</v>
      </c>
      <c r="P14" s="7">
        <f t="shared" si="2"/>
        <v>3</v>
      </c>
      <c r="Q14" s="7">
        <f t="shared" si="2"/>
        <v>1</v>
      </c>
      <c r="R14" s="7">
        <f t="shared" si="2"/>
        <v>2</v>
      </c>
      <c r="S14" s="7">
        <f t="shared" si="2"/>
        <v>2</v>
      </c>
      <c r="T14" s="7">
        <f t="shared" si="2"/>
        <v>3</v>
      </c>
      <c r="U14" s="7">
        <f t="shared" si="2"/>
        <v>5</v>
      </c>
      <c r="V14" s="7">
        <f t="shared" si="2"/>
        <v>3</v>
      </c>
    </row>
    <row r="16" spans="1:24" x14ac:dyDescent="0.3">
      <c r="A16" s="24" t="s">
        <v>51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x14ac:dyDescent="0.3">
      <c r="A17" s="24" t="s">
        <v>52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x14ac:dyDescent="0.3">
      <c r="A18" s="24" t="s">
        <v>53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x14ac:dyDescent="0.3">
      <c r="A19" s="24" t="s">
        <v>54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x14ac:dyDescent="0.3">
      <c r="A20" s="24" t="s">
        <v>55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x14ac:dyDescent="0.3">
      <c r="A21" s="24" t="s">
        <v>56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x14ac:dyDescent="0.3">
      <c r="A22" s="24" t="s">
        <v>57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</sheetData>
  <mergeCells count="15">
    <mergeCell ref="A21:X21"/>
    <mergeCell ref="A22:X22"/>
    <mergeCell ref="A16:X16"/>
    <mergeCell ref="A17:X17"/>
    <mergeCell ref="A18:X18"/>
    <mergeCell ref="A19:X19"/>
    <mergeCell ref="A20:X20"/>
    <mergeCell ref="A1:T1"/>
    <mergeCell ref="C3:D3"/>
    <mergeCell ref="E3:G3"/>
    <mergeCell ref="H3:J3"/>
    <mergeCell ref="K3:M3"/>
    <mergeCell ref="N3:P3"/>
    <mergeCell ref="Q3:S3"/>
    <mergeCell ref="T3:V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abSelected="1" topLeftCell="A11" zoomScaleNormal="100" workbookViewId="0">
      <selection activeCell="B32" sqref="B32:K32"/>
    </sheetView>
  </sheetViews>
  <sheetFormatPr defaultColWidth="8.6640625" defaultRowHeight="14.4" x14ac:dyDescent="0.3"/>
  <cols>
    <col min="1" max="1" width="6" customWidth="1"/>
    <col min="2" max="2" width="38" customWidth="1"/>
    <col min="3" max="3" width="12.5546875" customWidth="1"/>
    <col min="4" max="22" width="7" customWidth="1"/>
  </cols>
  <sheetData>
    <row r="1" spans="1:22" ht="17.399999999999999" x14ac:dyDescent="0.3">
      <c r="A1" s="21" t="s">
        <v>58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3" spans="1:22" x14ac:dyDescent="0.3">
      <c r="C3" s="22" t="s">
        <v>1</v>
      </c>
      <c r="D3" s="22"/>
      <c r="E3" s="22" t="s">
        <v>2</v>
      </c>
      <c r="F3" s="22"/>
      <c r="G3" s="22" t="s">
        <v>3</v>
      </c>
      <c r="H3" s="22"/>
      <c r="I3" s="22"/>
      <c r="J3" s="22" t="s">
        <v>4</v>
      </c>
      <c r="K3" s="22"/>
      <c r="L3" s="22"/>
      <c r="M3" s="22" t="s">
        <v>5</v>
      </c>
      <c r="N3" s="22"/>
      <c r="O3" s="23" t="s">
        <v>6</v>
      </c>
      <c r="P3" s="23"/>
      <c r="Q3" s="23"/>
      <c r="R3" s="23" t="s">
        <v>7</v>
      </c>
      <c r="S3" s="23"/>
      <c r="T3" s="23"/>
    </row>
    <row r="4" spans="1:22" x14ac:dyDescent="0.3">
      <c r="A4" s="4" t="s">
        <v>8</v>
      </c>
      <c r="B4" s="5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28</v>
      </c>
      <c r="T4" s="6" t="s">
        <v>29</v>
      </c>
      <c r="U4" s="6" t="s">
        <v>30</v>
      </c>
      <c r="V4" s="6" t="s">
        <v>31</v>
      </c>
    </row>
    <row r="5" spans="1:22" x14ac:dyDescent="0.3">
      <c r="A5" s="7" t="s">
        <v>32</v>
      </c>
      <c r="B5" s="8" t="s">
        <v>59</v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9">
        <v>0</v>
      </c>
      <c r="N5" s="10">
        <v>1</v>
      </c>
      <c r="O5" s="12">
        <v>1</v>
      </c>
      <c r="P5" s="12">
        <v>1</v>
      </c>
      <c r="Q5" s="12">
        <v>1</v>
      </c>
      <c r="R5" s="9">
        <v>0</v>
      </c>
      <c r="S5" s="9">
        <v>0</v>
      </c>
      <c r="T5" s="12">
        <v>1</v>
      </c>
      <c r="U5" s="11">
        <f t="shared" ref="U5:U18" si="0">SUM(C5:T5)</f>
        <v>15</v>
      </c>
      <c r="V5" s="11">
        <f t="shared" ref="V5:V18" si="1">U5/18</f>
        <v>0.83333333333333337</v>
      </c>
    </row>
    <row r="6" spans="1:22" x14ac:dyDescent="0.3">
      <c r="A6" s="7" t="s">
        <v>34</v>
      </c>
      <c r="B6" s="8" t="s">
        <v>60</v>
      </c>
      <c r="C6" s="9">
        <v>0</v>
      </c>
      <c r="D6" s="9">
        <v>0</v>
      </c>
      <c r="E6" s="10">
        <v>1</v>
      </c>
      <c r="F6" s="10">
        <v>1</v>
      </c>
      <c r="G6" s="9">
        <v>0</v>
      </c>
      <c r="H6" s="9">
        <v>0</v>
      </c>
      <c r="I6" s="9">
        <v>0</v>
      </c>
      <c r="J6" s="10">
        <v>1</v>
      </c>
      <c r="K6" s="10">
        <v>1</v>
      </c>
      <c r="L6" s="10">
        <v>1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11">
        <f t="shared" si="0"/>
        <v>5</v>
      </c>
      <c r="V6" s="11">
        <f t="shared" si="1"/>
        <v>0.27777777777777779</v>
      </c>
    </row>
    <row r="7" spans="1:22" x14ac:dyDescent="0.3">
      <c r="A7" s="7" t="s">
        <v>36</v>
      </c>
      <c r="B7" s="8" t="s">
        <v>61</v>
      </c>
      <c r="C7" s="9">
        <v>0</v>
      </c>
      <c r="D7" s="9">
        <v>0</v>
      </c>
      <c r="E7" s="10">
        <v>1</v>
      </c>
      <c r="F7" s="10">
        <v>1</v>
      </c>
      <c r="G7" s="9">
        <v>0</v>
      </c>
      <c r="H7" s="9">
        <v>0</v>
      </c>
      <c r="I7" s="9">
        <v>0</v>
      </c>
      <c r="J7" s="9">
        <v>0</v>
      </c>
      <c r="K7" s="10">
        <v>1</v>
      </c>
      <c r="L7" s="10">
        <v>1</v>
      </c>
      <c r="M7" s="9">
        <v>0</v>
      </c>
      <c r="N7" s="10">
        <v>1</v>
      </c>
      <c r="O7" s="9">
        <v>0</v>
      </c>
      <c r="P7" s="12">
        <v>1</v>
      </c>
      <c r="Q7" s="9">
        <v>0</v>
      </c>
      <c r="R7" s="9">
        <v>0</v>
      </c>
      <c r="S7" s="9">
        <v>0</v>
      </c>
      <c r="T7" s="9">
        <v>0</v>
      </c>
      <c r="U7" s="11">
        <f t="shared" si="0"/>
        <v>6</v>
      </c>
      <c r="V7" s="11">
        <f t="shared" si="1"/>
        <v>0.33333333333333331</v>
      </c>
    </row>
    <row r="8" spans="1:22" x14ac:dyDescent="0.3">
      <c r="A8" s="7" t="s">
        <v>38</v>
      </c>
      <c r="B8" s="8" t="s">
        <v>62</v>
      </c>
      <c r="C8" s="10">
        <v>1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10">
        <v>1</v>
      </c>
      <c r="K8" s="9">
        <v>0</v>
      </c>
      <c r="L8" s="10">
        <v>1</v>
      </c>
      <c r="M8" s="9">
        <v>0</v>
      </c>
      <c r="N8" s="10">
        <v>1</v>
      </c>
      <c r="O8" s="9">
        <v>0</v>
      </c>
      <c r="P8" s="12">
        <v>1</v>
      </c>
      <c r="Q8" s="9">
        <v>0</v>
      </c>
      <c r="R8" s="9">
        <v>0</v>
      </c>
      <c r="S8" s="9">
        <v>0</v>
      </c>
      <c r="T8" s="9">
        <v>0</v>
      </c>
      <c r="U8" s="11">
        <f t="shared" si="0"/>
        <v>5</v>
      </c>
      <c r="V8" s="11">
        <f t="shared" si="1"/>
        <v>0.27777777777777779</v>
      </c>
    </row>
    <row r="9" spans="1:22" x14ac:dyDescent="0.3">
      <c r="A9" s="7" t="s">
        <v>40</v>
      </c>
      <c r="B9" s="8" t="s">
        <v>63</v>
      </c>
      <c r="C9" s="9">
        <v>0</v>
      </c>
      <c r="D9" s="9">
        <v>0</v>
      </c>
      <c r="E9" s="10">
        <v>1</v>
      </c>
      <c r="F9" s="10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10">
        <v>1</v>
      </c>
      <c r="O9" s="12">
        <v>1</v>
      </c>
      <c r="P9" s="12">
        <v>1</v>
      </c>
      <c r="Q9" s="12">
        <v>1</v>
      </c>
      <c r="R9" s="9">
        <v>0</v>
      </c>
      <c r="S9" s="12">
        <v>1</v>
      </c>
      <c r="T9" s="12">
        <v>1</v>
      </c>
      <c r="U9" s="11">
        <f t="shared" si="0"/>
        <v>8</v>
      </c>
      <c r="V9" s="11">
        <f t="shared" si="1"/>
        <v>0.44444444444444442</v>
      </c>
    </row>
    <row r="10" spans="1:22" x14ac:dyDescent="0.3">
      <c r="A10" s="7" t="s">
        <v>42</v>
      </c>
      <c r="B10" s="8" t="s">
        <v>64</v>
      </c>
      <c r="C10" s="9">
        <v>0</v>
      </c>
      <c r="D10" s="9">
        <v>0</v>
      </c>
      <c r="E10" s="10">
        <v>1</v>
      </c>
      <c r="F10" s="10">
        <v>1</v>
      </c>
      <c r="G10" s="9">
        <v>0</v>
      </c>
      <c r="H10" s="9">
        <v>0</v>
      </c>
      <c r="I10" s="9">
        <v>0</v>
      </c>
      <c r="J10" s="9">
        <v>0</v>
      </c>
      <c r="K10" s="10">
        <v>1</v>
      </c>
      <c r="L10" s="9">
        <v>0</v>
      </c>
      <c r="M10" s="9">
        <v>0</v>
      </c>
      <c r="N10" s="10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11">
        <f t="shared" si="0"/>
        <v>4</v>
      </c>
      <c r="V10" s="11">
        <f t="shared" si="1"/>
        <v>0.22222222222222221</v>
      </c>
    </row>
    <row r="11" spans="1:22" ht="26.4" x14ac:dyDescent="0.3">
      <c r="A11" s="7" t="s">
        <v>44</v>
      </c>
      <c r="B11" s="8" t="s">
        <v>65</v>
      </c>
      <c r="C11" s="10">
        <v>1</v>
      </c>
      <c r="D11" s="9">
        <v>0</v>
      </c>
      <c r="E11" s="10">
        <v>1</v>
      </c>
      <c r="F11" s="10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10">
        <v>1</v>
      </c>
      <c r="O11" s="9">
        <v>0</v>
      </c>
      <c r="P11" s="12">
        <v>1</v>
      </c>
      <c r="Q11" s="9">
        <v>0</v>
      </c>
      <c r="R11" s="9">
        <v>0</v>
      </c>
      <c r="S11" s="12">
        <v>1</v>
      </c>
      <c r="T11" s="9">
        <v>0</v>
      </c>
      <c r="U11" s="11">
        <f t="shared" si="0"/>
        <v>6</v>
      </c>
      <c r="V11" s="11">
        <f t="shared" si="1"/>
        <v>0.33333333333333331</v>
      </c>
    </row>
    <row r="12" spans="1:22" x14ac:dyDescent="0.3">
      <c r="A12" s="7" t="s">
        <v>46</v>
      </c>
      <c r="B12" s="8" t="s">
        <v>66</v>
      </c>
      <c r="C12" s="9">
        <v>0</v>
      </c>
      <c r="D12" s="9">
        <v>0</v>
      </c>
      <c r="E12" s="10">
        <v>1</v>
      </c>
      <c r="F12" s="10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12">
        <v>1</v>
      </c>
      <c r="T12" s="9">
        <v>0</v>
      </c>
      <c r="U12" s="11">
        <f t="shared" si="0"/>
        <v>3</v>
      </c>
      <c r="V12" s="11">
        <f t="shared" si="1"/>
        <v>0.16666666666666666</v>
      </c>
    </row>
    <row r="13" spans="1:22" x14ac:dyDescent="0.3">
      <c r="A13" s="7" t="s">
        <v>48</v>
      </c>
      <c r="B13" s="8" t="s">
        <v>67</v>
      </c>
      <c r="C13" s="9">
        <v>0</v>
      </c>
      <c r="D13" s="9">
        <v>0</v>
      </c>
      <c r="E13" s="9">
        <v>0</v>
      </c>
      <c r="F13" s="9">
        <v>0</v>
      </c>
      <c r="G13" s="10">
        <v>1</v>
      </c>
      <c r="H13" s="9">
        <v>0</v>
      </c>
      <c r="I13" s="10">
        <v>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12">
        <v>1</v>
      </c>
      <c r="Q13" s="9">
        <v>0</v>
      </c>
      <c r="R13" s="12">
        <v>1</v>
      </c>
      <c r="S13" s="12">
        <v>1</v>
      </c>
      <c r="T13" s="9">
        <v>0</v>
      </c>
      <c r="U13" s="11">
        <f t="shared" si="0"/>
        <v>5</v>
      </c>
      <c r="V13" s="11">
        <f t="shared" si="1"/>
        <v>0.27777777777777779</v>
      </c>
    </row>
    <row r="14" spans="1:22" x14ac:dyDescent="0.3">
      <c r="A14" s="7" t="s">
        <v>68</v>
      </c>
      <c r="B14" s="8" t="s">
        <v>69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10">
        <v>1</v>
      </c>
      <c r="I14" s="9">
        <v>0</v>
      </c>
      <c r="J14" s="9">
        <v>0</v>
      </c>
      <c r="K14" s="10">
        <v>1</v>
      </c>
      <c r="L14" s="10">
        <v>1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12">
        <v>1</v>
      </c>
      <c r="T14" s="9">
        <v>0</v>
      </c>
      <c r="U14" s="11">
        <f t="shared" si="0"/>
        <v>4</v>
      </c>
      <c r="V14" s="11">
        <f t="shared" si="1"/>
        <v>0.22222222222222221</v>
      </c>
    </row>
    <row r="15" spans="1:22" ht="26.4" x14ac:dyDescent="0.3">
      <c r="A15" s="7" t="s">
        <v>70</v>
      </c>
      <c r="B15" s="8" t="s">
        <v>71</v>
      </c>
      <c r="C15" s="9">
        <v>0</v>
      </c>
      <c r="D15" s="10">
        <v>1</v>
      </c>
      <c r="E15" s="9">
        <v>0</v>
      </c>
      <c r="F15" s="9">
        <v>0</v>
      </c>
      <c r="G15" s="10">
        <v>1</v>
      </c>
      <c r="H15" s="9">
        <v>0</v>
      </c>
      <c r="I15" s="9">
        <v>0</v>
      </c>
      <c r="J15" s="9">
        <v>0</v>
      </c>
      <c r="K15" s="10">
        <v>1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12">
        <v>1</v>
      </c>
      <c r="R15" s="9">
        <v>0</v>
      </c>
      <c r="S15" s="12">
        <v>1</v>
      </c>
      <c r="T15" s="9">
        <v>0</v>
      </c>
      <c r="U15" s="11">
        <f t="shared" si="0"/>
        <v>5</v>
      </c>
      <c r="V15" s="11">
        <f t="shared" si="1"/>
        <v>0.27777777777777779</v>
      </c>
    </row>
    <row r="16" spans="1:22" x14ac:dyDescent="0.3">
      <c r="A16" s="7" t="s">
        <v>72</v>
      </c>
      <c r="B16" s="8" t="s">
        <v>73</v>
      </c>
      <c r="C16" s="9">
        <v>0</v>
      </c>
      <c r="D16" s="9">
        <v>0</v>
      </c>
      <c r="E16" s="9">
        <v>0</v>
      </c>
      <c r="F16" s="9">
        <v>0</v>
      </c>
      <c r="G16" s="10">
        <v>1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12">
        <v>1</v>
      </c>
      <c r="T16" s="12">
        <v>1</v>
      </c>
      <c r="U16" s="11">
        <f t="shared" si="0"/>
        <v>3</v>
      </c>
      <c r="V16" s="11">
        <f t="shared" si="1"/>
        <v>0.16666666666666666</v>
      </c>
    </row>
    <row r="17" spans="1:22" x14ac:dyDescent="0.3">
      <c r="A17" s="7" t="s">
        <v>74</v>
      </c>
      <c r="B17" s="8" t="s">
        <v>75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10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12">
        <v>1</v>
      </c>
      <c r="T17" s="9">
        <v>0</v>
      </c>
      <c r="U17" s="11">
        <f t="shared" si="0"/>
        <v>2</v>
      </c>
      <c r="V17" s="11">
        <f t="shared" si="1"/>
        <v>0.1111111111111111</v>
      </c>
    </row>
    <row r="18" spans="1:22" x14ac:dyDescent="0.3">
      <c r="A18" s="7" t="s">
        <v>76</v>
      </c>
      <c r="B18" s="8" t="s">
        <v>77</v>
      </c>
      <c r="C18" s="10">
        <v>1</v>
      </c>
      <c r="D18" s="10">
        <v>1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1">
        <f t="shared" si="0"/>
        <v>2</v>
      </c>
      <c r="V18" s="11">
        <f t="shared" si="1"/>
        <v>0.1111111111111111</v>
      </c>
    </row>
    <row r="19" spans="1:22" x14ac:dyDescent="0.3">
      <c r="B19" s="13" t="s">
        <v>50</v>
      </c>
      <c r="C19" s="7">
        <f t="shared" ref="C19:T19" si="2">SUM(C5:C18)</f>
        <v>4</v>
      </c>
      <c r="D19" s="7">
        <f t="shared" si="2"/>
        <v>3</v>
      </c>
      <c r="E19" s="7">
        <f t="shared" si="2"/>
        <v>7</v>
      </c>
      <c r="F19" s="7">
        <f t="shared" si="2"/>
        <v>7</v>
      </c>
      <c r="G19" s="7">
        <f t="shared" si="2"/>
        <v>4</v>
      </c>
      <c r="H19" s="7">
        <f t="shared" si="2"/>
        <v>3</v>
      </c>
      <c r="I19" s="7">
        <f t="shared" si="2"/>
        <v>2</v>
      </c>
      <c r="J19" s="7">
        <f t="shared" si="2"/>
        <v>3</v>
      </c>
      <c r="K19" s="7">
        <f t="shared" si="2"/>
        <v>6</v>
      </c>
      <c r="L19" s="7">
        <f t="shared" si="2"/>
        <v>5</v>
      </c>
      <c r="M19" s="7">
        <f t="shared" si="2"/>
        <v>0</v>
      </c>
      <c r="N19" s="7">
        <f t="shared" si="2"/>
        <v>6</v>
      </c>
      <c r="O19" s="7">
        <f t="shared" si="2"/>
        <v>2</v>
      </c>
      <c r="P19" s="7">
        <f t="shared" si="2"/>
        <v>6</v>
      </c>
      <c r="Q19" s="7">
        <f t="shared" si="2"/>
        <v>3</v>
      </c>
      <c r="R19" s="7">
        <f t="shared" si="2"/>
        <v>1</v>
      </c>
      <c r="S19" s="7">
        <f t="shared" si="2"/>
        <v>8</v>
      </c>
      <c r="T19" s="7">
        <f t="shared" si="2"/>
        <v>3</v>
      </c>
    </row>
    <row r="21" spans="1:22" x14ac:dyDescent="0.3">
      <c r="A21" s="24" t="s">
        <v>51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3">
      <c r="A22" s="24" t="s">
        <v>78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2" x14ac:dyDescent="0.3">
      <c r="A23" s="24" t="s">
        <v>79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2" x14ac:dyDescent="0.3">
      <c r="A24" s="24" t="s">
        <v>80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2" x14ac:dyDescent="0.3">
      <c r="A25" s="24" t="s">
        <v>81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2" x14ac:dyDescent="0.3">
      <c r="A26" s="24" t="s">
        <v>82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22" x14ac:dyDescent="0.3">
      <c r="A27" s="24" t="s">
        <v>55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spans="1:22" x14ac:dyDescent="0.3">
      <c r="A28" s="24" t="s">
        <v>83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1" spans="1:22" x14ac:dyDescent="0.3">
      <c r="D31" s="20"/>
      <c r="H31" s="20"/>
      <c r="M31" s="20"/>
    </row>
  </sheetData>
  <mergeCells count="16">
    <mergeCell ref="A26:V26"/>
    <mergeCell ref="A27:V27"/>
    <mergeCell ref="A28:V28"/>
    <mergeCell ref="A21:V21"/>
    <mergeCell ref="A22:V22"/>
    <mergeCell ref="A23:V23"/>
    <mergeCell ref="A24:V24"/>
    <mergeCell ref="A25:V25"/>
    <mergeCell ref="A1:T1"/>
    <mergeCell ref="C3:D3"/>
    <mergeCell ref="E3:F3"/>
    <mergeCell ref="G3:I3"/>
    <mergeCell ref="J3:L3"/>
    <mergeCell ref="M3:N3"/>
    <mergeCell ref="O3:Q3"/>
    <mergeCell ref="R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"/>
  <sheetViews>
    <sheetView topLeftCell="A52" zoomScaleNormal="100" workbookViewId="0">
      <selection sqref="A1:H1"/>
    </sheetView>
  </sheetViews>
  <sheetFormatPr defaultColWidth="8.6640625" defaultRowHeight="14.4" x14ac:dyDescent="0.3"/>
  <cols>
    <col min="1" max="3" width="16" customWidth="1"/>
    <col min="4" max="8" width="18" customWidth="1"/>
  </cols>
  <sheetData>
    <row r="1" spans="1:8" ht="17.399999999999999" x14ac:dyDescent="0.3">
      <c r="A1" s="21" t="s">
        <v>84</v>
      </c>
      <c r="B1" s="21"/>
      <c r="C1" s="21"/>
      <c r="D1" s="21"/>
      <c r="E1" s="21"/>
      <c r="F1" s="21"/>
      <c r="G1" s="21"/>
      <c r="H1" s="21"/>
    </row>
    <row r="3" spans="1:8" ht="15.6" x14ac:dyDescent="0.3">
      <c r="A3" s="14" t="s">
        <v>85</v>
      </c>
    </row>
    <row r="4" spans="1:8" x14ac:dyDescent="0.3">
      <c r="A4" s="6" t="s">
        <v>86</v>
      </c>
      <c r="B4" s="6" t="s">
        <v>87</v>
      </c>
      <c r="C4" s="6" t="s">
        <v>88</v>
      </c>
      <c r="D4" s="6" t="s">
        <v>89</v>
      </c>
      <c r="E4" s="6" t="s">
        <v>90</v>
      </c>
      <c r="F4" s="6" t="s">
        <v>91</v>
      </c>
      <c r="G4" s="6" t="s">
        <v>92</v>
      </c>
      <c r="H4" s="6" t="s">
        <v>93</v>
      </c>
    </row>
    <row r="5" spans="1:8" x14ac:dyDescent="0.3">
      <c r="A5" s="7" t="s">
        <v>1</v>
      </c>
      <c r="B5" s="11" t="s">
        <v>94</v>
      </c>
      <c r="C5" s="15">
        <v>0</v>
      </c>
      <c r="D5" s="8" t="s">
        <v>95</v>
      </c>
      <c r="E5" s="8" t="s">
        <v>95</v>
      </c>
      <c r="F5" s="8" t="s">
        <v>48</v>
      </c>
      <c r="G5" s="11">
        <v>1</v>
      </c>
      <c r="H5" s="8" t="s">
        <v>96</v>
      </c>
    </row>
    <row r="6" spans="1:8" x14ac:dyDescent="0.3">
      <c r="A6" s="16" t="s">
        <v>97</v>
      </c>
      <c r="C6" s="16">
        <v>0</v>
      </c>
    </row>
    <row r="7" spans="1:8" x14ac:dyDescent="0.3">
      <c r="A7" s="7" t="s">
        <v>2</v>
      </c>
      <c r="B7" s="11" t="s">
        <v>98</v>
      </c>
      <c r="C7" s="10">
        <v>1</v>
      </c>
      <c r="D7" s="8" t="s">
        <v>99</v>
      </c>
      <c r="E7" s="8" t="s">
        <v>95</v>
      </c>
      <c r="F7" s="8" t="s">
        <v>95</v>
      </c>
      <c r="G7" s="11">
        <v>2</v>
      </c>
      <c r="H7" s="8" t="s">
        <v>100</v>
      </c>
    </row>
    <row r="8" spans="1:8" x14ac:dyDescent="0.3">
      <c r="A8" s="7" t="s">
        <v>2</v>
      </c>
      <c r="B8" s="11" t="s">
        <v>101</v>
      </c>
      <c r="C8" s="10">
        <v>1</v>
      </c>
      <c r="D8" s="8" t="s">
        <v>99</v>
      </c>
      <c r="E8" s="8" t="s">
        <v>95</v>
      </c>
      <c r="F8" s="8" t="s">
        <v>95</v>
      </c>
      <c r="G8" s="11">
        <v>2</v>
      </c>
      <c r="H8" s="8" t="s">
        <v>100</v>
      </c>
    </row>
    <row r="9" spans="1:8" x14ac:dyDescent="0.3">
      <c r="A9" s="7" t="s">
        <v>2</v>
      </c>
      <c r="B9" s="11" t="s">
        <v>102</v>
      </c>
      <c r="C9" s="10">
        <v>1</v>
      </c>
      <c r="D9" s="8" t="s">
        <v>99</v>
      </c>
      <c r="E9" s="8" t="s">
        <v>95</v>
      </c>
      <c r="F9" s="8" t="s">
        <v>95</v>
      </c>
      <c r="G9" s="11">
        <v>2</v>
      </c>
      <c r="H9" s="8" t="s">
        <v>100</v>
      </c>
    </row>
    <row r="10" spans="1:8" x14ac:dyDescent="0.3">
      <c r="A10" s="16" t="s">
        <v>103</v>
      </c>
      <c r="C10" s="16">
        <v>1</v>
      </c>
    </row>
    <row r="11" spans="1:8" ht="26.4" x14ac:dyDescent="0.3">
      <c r="A11" s="7" t="s">
        <v>3</v>
      </c>
      <c r="B11" s="11" t="s">
        <v>104</v>
      </c>
      <c r="C11" s="15">
        <v>0.1429</v>
      </c>
      <c r="D11" s="8" t="s">
        <v>32</v>
      </c>
      <c r="E11" s="8" t="s">
        <v>105</v>
      </c>
      <c r="F11" s="8" t="s">
        <v>106</v>
      </c>
      <c r="G11" s="11">
        <v>7</v>
      </c>
      <c r="H11" s="8" t="s">
        <v>107</v>
      </c>
    </row>
    <row r="12" spans="1:8" x14ac:dyDescent="0.3">
      <c r="A12" s="7" t="s">
        <v>3</v>
      </c>
      <c r="B12" s="11" t="s">
        <v>108</v>
      </c>
      <c r="C12" s="15">
        <v>0.33329999999999999</v>
      </c>
      <c r="D12" s="8" t="s">
        <v>109</v>
      </c>
      <c r="E12" s="8" t="s">
        <v>110</v>
      </c>
      <c r="F12" s="8" t="s">
        <v>34</v>
      </c>
      <c r="G12" s="11">
        <v>6</v>
      </c>
      <c r="H12" s="8" t="s">
        <v>111</v>
      </c>
    </row>
    <row r="13" spans="1:8" x14ac:dyDescent="0.3">
      <c r="A13" s="7" t="s">
        <v>3</v>
      </c>
      <c r="B13" s="11" t="s">
        <v>112</v>
      </c>
      <c r="C13" s="15">
        <v>0</v>
      </c>
      <c r="D13" s="8" t="s">
        <v>95</v>
      </c>
      <c r="E13" s="8" t="s">
        <v>113</v>
      </c>
      <c r="F13" s="8" t="s">
        <v>114</v>
      </c>
      <c r="G13" s="11">
        <v>6</v>
      </c>
      <c r="H13" s="8" t="s">
        <v>96</v>
      </c>
    </row>
    <row r="14" spans="1:8" x14ac:dyDescent="0.3">
      <c r="A14" s="16" t="s">
        <v>115</v>
      </c>
      <c r="C14" s="16">
        <v>0.15870000000000001</v>
      </c>
    </row>
    <row r="15" spans="1:8" x14ac:dyDescent="0.3">
      <c r="A15" s="7" t="s">
        <v>4</v>
      </c>
      <c r="B15" s="11" t="s">
        <v>116</v>
      </c>
      <c r="C15" s="15">
        <v>0.16669999999999999</v>
      </c>
      <c r="D15" s="8" t="s">
        <v>32</v>
      </c>
      <c r="E15" s="8" t="s">
        <v>117</v>
      </c>
      <c r="F15" s="8" t="s">
        <v>118</v>
      </c>
      <c r="G15" s="11">
        <v>6</v>
      </c>
      <c r="H15" s="8" t="s">
        <v>107</v>
      </c>
    </row>
    <row r="16" spans="1:8" x14ac:dyDescent="0.3">
      <c r="A16" s="7" t="s">
        <v>4</v>
      </c>
      <c r="B16" s="11" t="s">
        <v>119</v>
      </c>
      <c r="C16" s="15">
        <v>0.33329999999999999</v>
      </c>
      <c r="D16" s="8" t="s">
        <v>120</v>
      </c>
      <c r="E16" s="8" t="s">
        <v>121</v>
      </c>
      <c r="F16" s="8" t="s">
        <v>122</v>
      </c>
      <c r="G16" s="11">
        <v>6</v>
      </c>
      <c r="H16" s="8" t="s">
        <v>111</v>
      </c>
    </row>
    <row r="17" spans="1:8" x14ac:dyDescent="0.3">
      <c r="A17" s="7" t="s">
        <v>4</v>
      </c>
      <c r="B17" s="11" t="s">
        <v>123</v>
      </c>
      <c r="C17" s="17">
        <v>0.4</v>
      </c>
      <c r="D17" s="8" t="s">
        <v>124</v>
      </c>
      <c r="E17" s="8" t="s">
        <v>34</v>
      </c>
      <c r="F17" s="8" t="s">
        <v>125</v>
      </c>
      <c r="G17" s="11">
        <v>5</v>
      </c>
      <c r="H17" s="8" t="s">
        <v>111</v>
      </c>
    </row>
    <row r="18" spans="1:8" x14ac:dyDescent="0.3">
      <c r="A18" s="16" t="s">
        <v>126</v>
      </c>
      <c r="C18" s="16">
        <v>0.3</v>
      </c>
    </row>
    <row r="19" spans="1:8" ht="26.4" x14ac:dyDescent="0.3">
      <c r="A19" s="7" t="s">
        <v>5</v>
      </c>
      <c r="B19" s="11" t="s">
        <v>127</v>
      </c>
      <c r="C19" s="15">
        <v>0</v>
      </c>
      <c r="D19" s="8" t="s">
        <v>95</v>
      </c>
      <c r="E19" s="8" t="s">
        <v>128</v>
      </c>
      <c r="F19" s="8" t="s">
        <v>95</v>
      </c>
      <c r="G19" s="11">
        <v>4</v>
      </c>
      <c r="H19" s="8" t="s">
        <v>96</v>
      </c>
    </row>
    <row r="20" spans="1:8" x14ac:dyDescent="0.3">
      <c r="A20" s="7" t="s">
        <v>5</v>
      </c>
      <c r="B20" s="11" t="s">
        <v>129</v>
      </c>
      <c r="C20" s="17">
        <v>0.4</v>
      </c>
      <c r="D20" s="8" t="s">
        <v>130</v>
      </c>
      <c r="E20" s="8" t="s">
        <v>131</v>
      </c>
      <c r="F20" s="8" t="s">
        <v>36</v>
      </c>
      <c r="G20" s="11">
        <v>5</v>
      </c>
      <c r="H20" s="8" t="s">
        <v>111</v>
      </c>
    </row>
    <row r="21" spans="1:8" x14ac:dyDescent="0.3">
      <c r="A21" s="7" t="s">
        <v>5</v>
      </c>
      <c r="B21" s="11" t="s">
        <v>132</v>
      </c>
      <c r="C21" s="15">
        <v>0</v>
      </c>
      <c r="D21" s="8" t="s">
        <v>95</v>
      </c>
      <c r="E21" s="8" t="s">
        <v>95</v>
      </c>
      <c r="F21" s="8" t="s">
        <v>133</v>
      </c>
      <c r="G21" s="11">
        <v>3</v>
      </c>
      <c r="H21" s="8" t="s">
        <v>96</v>
      </c>
    </row>
    <row r="22" spans="1:8" x14ac:dyDescent="0.3">
      <c r="A22" s="16" t="s">
        <v>134</v>
      </c>
      <c r="C22" s="16">
        <v>0.1333</v>
      </c>
    </row>
    <row r="23" spans="1:8" x14ac:dyDescent="0.3">
      <c r="A23" s="7" t="s">
        <v>6</v>
      </c>
      <c r="B23" s="11" t="s">
        <v>135</v>
      </c>
      <c r="C23" s="17">
        <v>0.5</v>
      </c>
      <c r="D23" s="8" t="s">
        <v>38</v>
      </c>
      <c r="E23" s="8" t="s">
        <v>95</v>
      </c>
      <c r="F23" s="8" t="s">
        <v>34</v>
      </c>
      <c r="G23" s="11">
        <v>2</v>
      </c>
      <c r="H23" s="8" t="s">
        <v>111</v>
      </c>
    </row>
    <row r="24" spans="1:8" x14ac:dyDescent="0.3">
      <c r="A24" s="7" t="s">
        <v>6</v>
      </c>
      <c r="B24" s="11" t="s">
        <v>136</v>
      </c>
      <c r="C24" s="15">
        <v>0</v>
      </c>
      <c r="D24" s="8" t="s">
        <v>95</v>
      </c>
      <c r="E24" s="8" t="s">
        <v>38</v>
      </c>
      <c r="F24" s="8" t="s">
        <v>125</v>
      </c>
      <c r="G24" s="11">
        <v>3</v>
      </c>
      <c r="H24" s="8" t="s">
        <v>96</v>
      </c>
    </row>
    <row r="25" spans="1:8" x14ac:dyDescent="0.3">
      <c r="A25" s="7" t="s">
        <v>6</v>
      </c>
      <c r="B25" s="11" t="s">
        <v>137</v>
      </c>
      <c r="C25" s="15">
        <v>0</v>
      </c>
      <c r="D25" s="8" t="s">
        <v>95</v>
      </c>
      <c r="E25" s="8" t="s">
        <v>138</v>
      </c>
      <c r="F25" s="8" t="s">
        <v>125</v>
      </c>
      <c r="G25" s="11">
        <v>4</v>
      </c>
      <c r="H25" s="8" t="s">
        <v>96</v>
      </c>
    </row>
    <row r="26" spans="1:8" x14ac:dyDescent="0.3">
      <c r="A26" s="16" t="s">
        <v>139</v>
      </c>
      <c r="C26" s="16">
        <v>0.16669999999999999</v>
      </c>
    </row>
    <row r="27" spans="1:8" x14ac:dyDescent="0.3">
      <c r="A27" s="7" t="s">
        <v>7</v>
      </c>
      <c r="B27" s="11" t="s">
        <v>140</v>
      </c>
      <c r="C27" s="15">
        <v>0.33329999999999999</v>
      </c>
      <c r="D27" s="8" t="s">
        <v>141</v>
      </c>
      <c r="E27" s="8" t="s">
        <v>42</v>
      </c>
      <c r="F27" s="8" t="s">
        <v>142</v>
      </c>
      <c r="G27" s="11">
        <v>6</v>
      </c>
      <c r="H27" s="8" t="s">
        <v>111</v>
      </c>
    </row>
    <row r="28" spans="1:8" x14ac:dyDescent="0.3">
      <c r="A28" s="7" t="s">
        <v>7</v>
      </c>
      <c r="B28" s="11" t="s">
        <v>143</v>
      </c>
      <c r="C28" s="15">
        <v>0.2</v>
      </c>
      <c r="D28" s="8" t="s">
        <v>34</v>
      </c>
      <c r="E28" s="8" t="s">
        <v>144</v>
      </c>
      <c r="F28" s="8" t="s">
        <v>145</v>
      </c>
      <c r="G28" s="11">
        <v>5</v>
      </c>
      <c r="H28" s="8" t="s">
        <v>107</v>
      </c>
    </row>
    <row r="29" spans="1:8" x14ac:dyDescent="0.3">
      <c r="A29" s="7" t="s">
        <v>7</v>
      </c>
      <c r="B29" s="11" t="s">
        <v>146</v>
      </c>
      <c r="C29" s="17">
        <v>0.6</v>
      </c>
      <c r="D29" s="8" t="s">
        <v>147</v>
      </c>
      <c r="E29" s="8" t="s">
        <v>109</v>
      </c>
      <c r="F29" s="8" t="s">
        <v>95</v>
      </c>
      <c r="G29" s="11">
        <v>5</v>
      </c>
      <c r="H29" s="8" t="s">
        <v>148</v>
      </c>
    </row>
    <row r="30" spans="1:8" x14ac:dyDescent="0.3">
      <c r="A30" s="16" t="s">
        <v>149</v>
      </c>
      <c r="C30" s="16">
        <v>0.37780000000000002</v>
      </c>
    </row>
    <row r="33" spans="1:8" ht="15.6" x14ac:dyDescent="0.3">
      <c r="A33" s="14" t="s">
        <v>150</v>
      </c>
    </row>
    <row r="34" spans="1:8" x14ac:dyDescent="0.3">
      <c r="A34" s="6" t="s">
        <v>86</v>
      </c>
      <c r="B34" s="6" t="s">
        <v>87</v>
      </c>
      <c r="C34" s="6" t="s">
        <v>88</v>
      </c>
      <c r="D34" s="6" t="s">
        <v>89</v>
      </c>
      <c r="E34" s="6" t="s">
        <v>90</v>
      </c>
      <c r="F34" s="6" t="s">
        <v>91</v>
      </c>
      <c r="G34" s="6" t="s">
        <v>92</v>
      </c>
      <c r="H34" s="6" t="s">
        <v>93</v>
      </c>
    </row>
    <row r="35" spans="1:8" x14ac:dyDescent="0.3">
      <c r="A35" s="7" t="s">
        <v>1</v>
      </c>
      <c r="B35" s="11" t="s">
        <v>94</v>
      </c>
      <c r="C35" s="17">
        <v>0.4</v>
      </c>
      <c r="D35" s="8" t="s">
        <v>151</v>
      </c>
      <c r="E35" s="8" t="s">
        <v>152</v>
      </c>
      <c r="F35" s="8" t="s">
        <v>70</v>
      </c>
      <c r="G35" s="11">
        <v>5</v>
      </c>
      <c r="H35" s="8" t="s">
        <v>111</v>
      </c>
    </row>
    <row r="36" spans="1:8" x14ac:dyDescent="0.3">
      <c r="A36" s="16" t="s">
        <v>97</v>
      </c>
      <c r="C36" s="16">
        <v>0.4</v>
      </c>
    </row>
    <row r="37" spans="1:8" ht="39.6" x14ac:dyDescent="0.3">
      <c r="A37" s="7" t="s">
        <v>2</v>
      </c>
      <c r="B37" s="11" t="s">
        <v>98</v>
      </c>
      <c r="C37" s="10">
        <v>1</v>
      </c>
      <c r="D37" s="8" t="s">
        <v>153</v>
      </c>
      <c r="E37" s="8" t="s">
        <v>95</v>
      </c>
      <c r="F37" s="8" t="s">
        <v>95</v>
      </c>
      <c r="G37" s="11">
        <v>7</v>
      </c>
      <c r="H37" s="8" t="s">
        <v>100</v>
      </c>
    </row>
    <row r="38" spans="1:8" x14ac:dyDescent="0.3">
      <c r="A38" s="16" t="s">
        <v>103</v>
      </c>
      <c r="C38" s="16">
        <v>1</v>
      </c>
    </row>
    <row r="39" spans="1:8" x14ac:dyDescent="0.3">
      <c r="A39" s="7" t="s">
        <v>3</v>
      </c>
      <c r="B39" s="11" t="s">
        <v>104</v>
      </c>
      <c r="C39" s="15">
        <v>0.16669999999999999</v>
      </c>
      <c r="D39" s="8" t="s">
        <v>32</v>
      </c>
      <c r="E39" s="8" t="s">
        <v>154</v>
      </c>
      <c r="F39" s="8" t="s">
        <v>155</v>
      </c>
      <c r="G39" s="11">
        <v>6</v>
      </c>
      <c r="H39" s="8" t="s">
        <v>107</v>
      </c>
    </row>
    <row r="40" spans="1:8" x14ac:dyDescent="0.3">
      <c r="A40" s="7" t="s">
        <v>3</v>
      </c>
      <c r="B40" s="11" t="s">
        <v>108</v>
      </c>
      <c r="C40" s="17">
        <v>0.5</v>
      </c>
      <c r="D40" s="8" t="s">
        <v>156</v>
      </c>
      <c r="E40" s="8" t="s">
        <v>157</v>
      </c>
      <c r="F40" s="8" t="s">
        <v>95</v>
      </c>
      <c r="G40" s="11">
        <v>4</v>
      </c>
      <c r="H40" s="8" t="s">
        <v>111</v>
      </c>
    </row>
    <row r="41" spans="1:8" x14ac:dyDescent="0.3">
      <c r="A41" s="7" t="s">
        <v>3</v>
      </c>
      <c r="B41" s="11" t="s">
        <v>112</v>
      </c>
      <c r="C41" s="15">
        <v>0.25</v>
      </c>
      <c r="D41" s="8" t="s">
        <v>32</v>
      </c>
      <c r="E41" s="8" t="s">
        <v>155</v>
      </c>
      <c r="F41" s="8" t="s">
        <v>48</v>
      </c>
      <c r="G41" s="11">
        <v>4</v>
      </c>
      <c r="H41" s="8" t="s">
        <v>107</v>
      </c>
    </row>
    <row r="42" spans="1:8" x14ac:dyDescent="0.3">
      <c r="A42" s="16" t="s">
        <v>115</v>
      </c>
      <c r="C42" s="16">
        <v>0.30559999999999998</v>
      </c>
    </row>
    <row r="43" spans="1:8" ht="26.4" x14ac:dyDescent="0.3">
      <c r="A43" s="7" t="s">
        <v>4</v>
      </c>
      <c r="B43" s="11" t="s">
        <v>116</v>
      </c>
      <c r="C43" s="15">
        <v>0.28570000000000001</v>
      </c>
      <c r="D43" s="8" t="s">
        <v>158</v>
      </c>
      <c r="E43" s="8" t="s">
        <v>38</v>
      </c>
      <c r="F43" s="8" t="s">
        <v>159</v>
      </c>
      <c r="G43" s="11">
        <v>7</v>
      </c>
      <c r="H43" s="8" t="s">
        <v>107</v>
      </c>
    </row>
    <row r="44" spans="1:8" x14ac:dyDescent="0.3">
      <c r="A44" s="7" t="s">
        <v>4</v>
      </c>
      <c r="B44" s="11" t="s">
        <v>119</v>
      </c>
      <c r="C44" s="17">
        <v>0.6</v>
      </c>
      <c r="D44" s="8" t="s">
        <v>160</v>
      </c>
      <c r="E44" s="8" t="s">
        <v>95</v>
      </c>
      <c r="F44" s="8" t="s">
        <v>161</v>
      </c>
      <c r="G44" s="11">
        <v>5</v>
      </c>
      <c r="H44" s="8" t="s">
        <v>148</v>
      </c>
    </row>
    <row r="45" spans="1:8" ht="26.4" x14ac:dyDescent="0.3">
      <c r="A45" s="7" t="s">
        <v>4</v>
      </c>
      <c r="B45" s="11" t="s">
        <v>123</v>
      </c>
      <c r="C45" s="17">
        <v>0.57140000000000002</v>
      </c>
      <c r="D45" s="8" t="s">
        <v>162</v>
      </c>
      <c r="E45" s="8" t="s">
        <v>163</v>
      </c>
      <c r="F45" s="8" t="s">
        <v>38</v>
      </c>
      <c r="G45" s="11">
        <v>7</v>
      </c>
      <c r="H45" s="8" t="s">
        <v>111</v>
      </c>
    </row>
    <row r="46" spans="1:8" x14ac:dyDescent="0.3">
      <c r="A46" s="16" t="s">
        <v>126</v>
      </c>
      <c r="C46" s="16">
        <v>0.48570000000000002</v>
      </c>
    </row>
    <row r="47" spans="1:8" ht="26.4" x14ac:dyDescent="0.3">
      <c r="A47" s="7" t="s">
        <v>5</v>
      </c>
      <c r="B47" s="11" t="s">
        <v>132</v>
      </c>
      <c r="C47" s="15">
        <v>0</v>
      </c>
      <c r="D47" s="8" t="s">
        <v>95</v>
      </c>
      <c r="E47" s="8" t="s">
        <v>95</v>
      </c>
      <c r="F47" s="8" t="s">
        <v>164</v>
      </c>
      <c r="G47" s="11">
        <v>6</v>
      </c>
      <c r="H47" s="8" t="s">
        <v>96</v>
      </c>
    </row>
    <row r="48" spans="1:8" x14ac:dyDescent="0.3">
      <c r="A48" s="16" t="s">
        <v>134</v>
      </c>
      <c r="C48" s="16">
        <v>0</v>
      </c>
    </row>
    <row r="49" spans="1:8" ht="26.4" x14ac:dyDescent="0.3">
      <c r="A49" s="7" t="s">
        <v>6</v>
      </c>
      <c r="B49" s="11" t="s">
        <v>135</v>
      </c>
      <c r="C49" s="15">
        <v>0.33329999999999999</v>
      </c>
      <c r="D49" s="8" t="s">
        <v>130</v>
      </c>
      <c r="E49" s="8" t="s">
        <v>95</v>
      </c>
      <c r="F49" s="8" t="s">
        <v>165</v>
      </c>
      <c r="G49" s="11">
        <v>6</v>
      </c>
      <c r="H49" s="8" t="s">
        <v>111</v>
      </c>
    </row>
    <row r="50" spans="1:8" x14ac:dyDescent="0.3">
      <c r="A50" s="7" t="s">
        <v>6</v>
      </c>
      <c r="B50" s="11" t="s">
        <v>136</v>
      </c>
      <c r="C50" s="17">
        <v>0.66669999999999996</v>
      </c>
      <c r="D50" s="8" t="s">
        <v>130</v>
      </c>
      <c r="E50" s="8" t="s">
        <v>95</v>
      </c>
      <c r="F50" s="8" t="s">
        <v>70</v>
      </c>
      <c r="G50" s="11">
        <v>3</v>
      </c>
      <c r="H50" s="8" t="s">
        <v>148</v>
      </c>
    </row>
    <row r="51" spans="1:8" ht="26.4" x14ac:dyDescent="0.3">
      <c r="A51" s="7" t="s">
        <v>6</v>
      </c>
      <c r="B51" s="11" t="s">
        <v>137</v>
      </c>
      <c r="C51" s="15">
        <v>0.28570000000000001</v>
      </c>
      <c r="D51" s="8" t="s">
        <v>130</v>
      </c>
      <c r="E51" s="8" t="s">
        <v>165</v>
      </c>
      <c r="F51" s="8" t="s">
        <v>70</v>
      </c>
      <c r="G51" s="11">
        <v>7</v>
      </c>
      <c r="H51" s="8" t="s">
        <v>107</v>
      </c>
    </row>
    <row r="52" spans="1:8" x14ac:dyDescent="0.3">
      <c r="A52" s="16" t="s">
        <v>139</v>
      </c>
      <c r="C52" s="16">
        <v>0.42859999999999998</v>
      </c>
    </row>
    <row r="53" spans="1:8" ht="39.6" x14ac:dyDescent="0.3">
      <c r="A53" s="7" t="s">
        <v>7</v>
      </c>
      <c r="B53" s="11" t="s">
        <v>140</v>
      </c>
      <c r="C53" s="15">
        <v>0.125</v>
      </c>
      <c r="D53" s="8" t="s">
        <v>48</v>
      </c>
      <c r="E53" s="8" t="s">
        <v>95</v>
      </c>
      <c r="F53" s="8" t="s">
        <v>166</v>
      </c>
      <c r="G53" s="11">
        <v>8</v>
      </c>
      <c r="H53" s="8" t="s">
        <v>107</v>
      </c>
    </row>
    <row r="54" spans="1:8" x14ac:dyDescent="0.3">
      <c r="A54" s="7" t="s">
        <v>7</v>
      </c>
      <c r="B54" s="11" t="s">
        <v>143</v>
      </c>
      <c r="C54" s="15">
        <v>0</v>
      </c>
      <c r="D54" s="8" t="s">
        <v>95</v>
      </c>
      <c r="E54" s="8" t="s">
        <v>48</v>
      </c>
      <c r="F54" s="8" t="s">
        <v>167</v>
      </c>
      <c r="G54" s="11">
        <v>4</v>
      </c>
      <c r="H54" s="8" t="s">
        <v>96</v>
      </c>
    </row>
    <row r="55" spans="1:8" ht="26.4" x14ac:dyDescent="0.3">
      <c r="A55" s="7" t="s">
        <v>7</v>
      </c>
      <c r="B55" s="11" t="s">
        <v>146</v>
      </c>
      <c r="C55" s="15">
        <v>0.22220000000000001</v>
      </c>
      <c r="D55" s="8" t="s">
        <v>168</v>
      </c>
      <c r="E55" s="8" t="s">
        <v>169</v>
      </c>
      <c r="F55" s="8" t="s">
        <v>32</v>
      </c>
      <c r="G55" s="11">
        <v>9</v>
      </c>
      <c r="H55" s="8" t="s">
        <v>107</v>
      </c>
    </row>
    <row r="56" spans="1:8" x14ac:dyDescent="0.3">
      <c r="A56" s="16" t="s">
        <v>149</v>
      </c>
      <c r="C56" s="16">
        <v>0.1157</v>
      </c>
    </row>
    <row r="59" spans="1:8" ht="15.6" x14ac:dyDescent="0.3">
      <c r="A59" s="14" t="s">
        <v>170</v>
      </c>
    </row>
    <row r="60" spans="1:8" x14ac:dyDescent="0.3">
      <c r="A60" s="6" t="s">
        <v>86</v>
      </c>
      <c r="B60" s="6" t="s">
        <v>171</v>
      </c>
      <c r="C60" s="6" t="s">
        <v>172</v>
      </c>
      <c r="D60" s="6" t="s">
        <v>173</v>
      </c>
      <c r="E60" s="6" t="s">
        <v>174</v>
      </c>
    </row>
    <row r="61" spans="1:8" x14ac:dyDescent="0.3">
      <c r="A61" s="7" t="s">
        <v>1</v>
      </c>
      <c r="B61" s="11">
        <v>0</v>
      </c>
      <c r="C61" s="11">
        <v>0.4</v>
      </c>
      <c r="D61" s="7">
        <v>0.2</v>
      </c>
      <c r="E61" s="8" t="s">
        <v>175</v>
      </c>
    </row>
    <row r="62" spans="1:8" x14ac:dyDescent="0.3">
      <c r="A62" s="7" t="s">
        <v>2</v>
      </c>
      <c r="B62" s="11">
        <v>1</v>
      </c>
      <c r="C62" s="11">
        <v>1</v>
      </c>
      <c r="D62" s="7">
        <v>1</v>
      </c>
      <c r="E62" s="8" t="s">
        <v>176</v>
      </c>
    </row>
    <row r="63" spans="1:8" x14ac:dyDescent="0.3">
      <c r="A63" s="7" t="s">
        <v>3</v>
      </c>
      <c r="B63" s="11">
        <v>0.15870000000000001</v>
      </c>
      <c r="C63" s="11">
        <v>0.30559999999999998</v>
      </c>
      <c r="D63" s="7">
        <v>0.2321</v>
      </c>
      <c r="E63" s="8" t="s">
        <v>175</v>
      </c>
    </row>
    <row r="64" spans="1:8" x14ac:dyDescent="0.3">
      <c r="A64" s="7" t="s">
        <v>4</v>
      </c>
      <c r="B64" s="11">
        <v>0.3</v>
      </c>
      <c r="C64" s="11">
        <v>0.48570000000000002</v>
      </c>
      <c r="D64" s="7">
        <v>0.39290000000000003</v>
      </c>
      <c r="E64" s="8" t="s">
        <v>111</v>
      </c>
    </row>
    <row r="65" spans="1:5" x14ac:dyDescent="0.3">
      <c r="A65" s="7" t="s">
        <v>5</v>
      </c>
      <c r="B65" s="11">
        <v>0.1333</v>
      </c>
      <c r="C65" s="11">
        <v>0</v>
      </c>
      <c r="D65" s="7">
        <v>6.6699999999999995E-2</v>
      </c>
      <c r="E65" s="8" t="s">
        <v>177</v>
      </c>
    </row>
    <row r="66" spans="1:5" x14ac:dyDescent="0.3">
      <c r="A66" s="7" t="s">
        <v>6</v>
      </c>
      <c r="B66" s="11">
        <v>0.16669999999999999</v>
      </c>
      <c r="C66" s="11">
        <v>0.42859999999999998</v>
      </c>
      <c r="D66" s="7">
        <v>0.29759999999999998</v>
      </c>
      <c r="E66" s="8" t="s">
        <v>175</v>
      </c>
    </row>
    <row r="67" spans="1:5" x14ac:dyDescent="0.3">
      <c r="A67" s="7" t="s">
        <v>7</v>
      </c>
      <c r="B67" s="11">
        <v>0.37780000000000002</v>
      </c>
      <c r="C67" s="11">
        <v>0.1157</v>
      </c>
      <c r="D67" s="7">
        <v>0.24679999999999999</v>
      </c>
      <c r="E67" s="8" t="s">
        <v>175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zoomScaleNormal="100" workbookViewId="0">
      <selection sqref="A1:F1"/>
    </sheetView>
  </sheetViews>
  <sheetFormatPr defaultColWidth="8.6640625" defaultRowHeight="14.4" x14ac:dyDescent="0.3"/>
  <cols>
    <col min="1" max="1" width="16" customWidth="1"/>
    <col min="2" max="2" width="18" customWidth="1"/>
    <col min="3" max="3" width="14" customWidth="1"/>
    <col min="4" max="4" width="18" customWidth="1"/>
    <col min="5" max="5" width="50" customWidth="1"/>
    <col min="6" max="6" width="12" customWidth="1"/>
  </cols>
  <sheetData>
    <row r="1" spans="1:6" ht="17.399999999999999" x14ac:dyDescent="0.3">
      <c r="A1" s="21" t="s">
        <v>178</v>
      </c>
      <c r="B1" s="21"/>
      <c r="C1" s="21"/>
      <c r="D1" s="21"/>
      <c r="E1" s="21"/>
      <c r="F1" s="21"/>
    </row>
    <row r="3" spans="1:6" ht="15.6" x14ac:dyDescent="0.3">
      <c r="A3" s="14" t="s">
        <v>179</v>
      </c>
    </row>
    <row r="4" spans="1:6" x14ac:dyDescent="0.3">
      <c r="A4" s="6" t="s">
        <v>86</v>
      </c>
      <c r="B4" s="6" t="s">
        <v>180</v>
      </c>
      <c r="C4" s="6" t="s">
        <v>181</v>
      </c>
      <c r="D4" s="6" t="s">
        <v>182</v>
      </c>
      <c r="E4" s="6" t="s">
        <v>183</v>
      </c>
    </row>
    <row r="5" spans="1:6" x14ac:dyDescent="0.3">
      <c r="A5" s="7" t="s">
        <v>1</v>
      </c>
      <c r="B5" s="11" t="s">
        <v>184</v>
      </c>
      <c r="C5" s="11" t="s">
        <v>11</v>
      </c>
      <c r="D5" s="11" t="s">
        <v>184</v>
      </c>
      <c r="E5" s="8" t="s">
        <v>48</v>
      </c>
    </row>
    <row r="6" spans="1:6" x14ac:dyDescent="0.3">
      <c r="A6" s="7" t="s">
        <v>2</v>
      </c>
      <c r="B6" s="11" t="s">
        <v>185</v>
      </c>
      <c r="C6" s="11" t="s">
        <v>12</v>
      </c>
      <c r="D6" s="11" t="s">
        <v>185</v>
      </c>
      <c r="E6" s="8" t="s">
        <v>99</v>
      </c>
    </row>
    <row r="7" spans="1:6" x14ac:dyDescent="0.3">
      <c r="A7" s="7" t="s">
        <v>3</v>
      </c>
      <c r="B7" s="11" t="s">
        <v>186</v>
      </c>
      <c r="C7" s="11" t="s">
        <v>15</v>
      </c>
      <c r="D7" s="11" t="s">
        <v>187</v>
      </c>
      <c r="E7" s="8" t="s">
        <v>188</v>
      </c>
    </row>
    <row r="8" spans="1:6" x14ac:dyDescent="0.3">
      <c r="A8" s="7" t="s">
        <v>4</v>
      </c>
      <c r="B8" s="11" t="s">
        <v>189</v>
      </c>
      <c r="C8" s="11" t="s">
        <v>18</v>
      </c>
      <c r="D8" s="11" t="s">
        <v>190</v>
      </c>
      <c r="E8" s="8" t="s">
        <v>191</v>
      </c>
    </row>
    <row r="9" spans="1:6" x14ac:dyDescent="0.3">
      <c r="A9" s="7" t="s">
        <v>5</v>
      </c>
      <c r="B9" s="11" t="s">
        <v>189</v>
      </c>
      <c r="C9" s="11" t="s">
        <v>21</v>
      </c>
      <c r="D9" s="11" t="s">
        <v>186</v>
      </c>
      <c r="E9" s="8" t="s">
        <v>192</v>
      </c>
    </row>
    <row r="10" spans="1:6" x14ac:dyDescent="0.3">
      <c r="A10" s="7" t="s">
        <v>6</v>
      </c>
      <c r="B10" s="11" t="s">
        <v>185</v>
      </c>
      <c r="C10" s="11" t="s">
        <v>25</v>
      </c>
      <c r="D10" s="11" t="s">
        <v>189</v>
      </c>
      <c r="E10" s="8" t="s">
        <v>193</v>
      </c>
    </row>
    <row r="11" spans="1:6" x14ac:dyDescent="0.3">
      <c r="A11" s="7" t="s">
        <v>7</v>
      </c>
      <c r="B11" s="11" t="s">
        <v>186</v>
      </c>
      <c r="C11" s="11" t="s">
        <v>28</v>
      </c>
      <c r="D11" s="11" t="s">
        <v>194</v>
      </c>
      <c r="E11" s="8" t="s">
        <v>195</v>
      </c>
    </row>
    <row r="14" spans="1:6" ht="15.6" x14ac:dyDescent="0.3">
      <c r="A14" s="14" t="s">
        <v>196</v>
      </c>
    </row>
    <row r="15" spans="1:6" ht="15" customHeight="1" x14ac:dyDescent="0.3">
      <c r="A15" s="3" t="s">
        <v>197</v>
      </c>
      <c r="B15" s="25" t="s">
        <v>198</v>
      </c>
      <c r="C15" s="25"/>
      <c r="D15" s="25"/>
      <c r="E15" s="25"/>
      <c r="F15" s="25"/>
    </row>
    <row r="16" spans="1:6" ht="15" customHeight="1" x14ac:dyDescent="0.3">
      <c r="A16" s="3" t="s">
        <v>199</v>
      </c>
      <c r="B16" s="25" t="s">
        <v>200</v>
      </c>
      <c r="C16" s="25"/>
      <c r="D16" s="25"/>
      <c r="E16" s="25"/>
      <c r="F16" s="25"/>
    </row>
    <row r="17" spans="1:6" ht="15" customHeight="1" x14ac:dyDescent="0.3">
      <c r="A17" s="3" t="s">
        <v>201</v>
      </c>
      <c r="B17" s="25" t="s">
        <v>202</v>
      </c>
      <c r="C17" s="25"/>
      <c r="D17" s="25"/>
      <c r="E17" s="25"/>
      <c r="F17" s="25"/>
    </row>
    <row r="18" spans="1:6" ht="15" customHeight="1" x14ac:dyDescent="0.3">
      <c r="A18" s="2" t="s">
        <v>203</v>
      </c>
      <c r="B18" s="25" t="s">
        <v>204</v>
      </c>
      <c r="C18" s="25"/>
      <c r="D18" s="25"/>
      <c r="E18" s="25"/>
      <c r="F18" s="25"/>
    </row>
    <row r="19" spans="1:6" ht="15" customHeight="1" x14ac:dyDescent="0.3">
      <c r="A19" s="2" t="s">
        <v>205</v>
      </c>
      <c r="B19" s="25" t="s">
        <v>206</v>
      </c>
      <c r="C19" s="25"/>
      <c r="D19" s="25"/>
      <c r="E19" s="25"/>
      <c r="F19" s="25"/>
    </row>
    <row r="20" spans="1:6" ht="15" customHeight="1" x14ac:dyDescent="0.3">
      <c r="A20" s="2" t="s">
        <v>207</v>
      </c>
      <c r="B20" s="25" t="s">
        <v>208</v>
      </c>
      <c r="C20" s="25"/>
      <c r="D20" s="25"/>
      <c r="E20" s="25"/>
      <c r="F20" s="25"/>
    </row>
    <row r="21" spans="1:6" ht="15" customHeight="1" x14ac:dyDescent="0.3">
      <c r="A21" s="2" t="s">
        <v>209</v>
      </c>
      <c r="B21" s="25" t="s">
        <v>210</v>
      </c>
      <c r="C21" s="25"/>
      <c r="D21" s="25"/>
      <c r="E21" s="25"/>
      <c r="F21" s="25"/>
    </row>
    <row r="22" spans="1:6" ht="15" customHeight="1" x14ac:dyDescent="0.3">
      <c r="A22" s="2" t="s">
        <v>211</v>
      </c>
      <c r="B22" s="25" t="s">
        <v>212</v>
      </c>
      <c r="C22" s="25"/>
      <c r="D22" s="25"/>
      <c r="E22" s="25"/>
      <c r="F22" s="25"/>
    </row>
  </sheetData>
  <mergeCells count="9">
    <mergeCell ref="B19:F19"/>
    <mergeCell ref="B20:F20"/>
    <mergeCell ref="B21:F21"/>
    <mergeCell ref="B22:F22"/>
    <mergeCell ref="A1:F1"/>
    <mergeCell ref="B15:F15"/>
    <mergeCell ref="B16:F16"/>
    <mergeCell ref="B17:F17"/>
    <mergeCell ref="B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35" customWidth="1"/>
    <col min="3" max="3" width="25" customWidth="1"/>
    <col min="4" max="4" width="30" customWidth="1"/>
    <col min="5" max="5" width="50" customWidth="1"/>
    <col min="6" max="6" width="12" customWidth="1"/>
  </cols>
  <sheetData>
    <row r="1" spans="1:6" ht="17.399999999999999" x14ac:dyDescent="0.3">
      <c r="A1" s="21" t="s">
        <v>213</v>
      </c>
      <c r="B1" s="21"/>
      <c r="C1" s="21"/>
      <c r="D1" s="21"/>
      <c r="E1" s="21"/>
      <c r="F1" s="21"/>
    </row>
    <row r="3" spans="1:6" ht="15.6" x14ac:dyDescent="0.3">
      <c r="A3" s="14" t="s">
        <v>214</v>
      </c>
    </row>
    <row r="4" spans="1:6" x14ac:dyDescent="0.3">
      <c r="A4" s="6" t="s">
        <v>86</v>
      </c>
      <c r="B4" s="6" t="s">
        <v>180</v>
      </c>
      <c r="C4" s="6" t="s">
        <v>181</v>
      </c>
      <c r="D4" s="6" t="s">
        <v>182</v>
      </c>
      <c r="E4" s="6" t="s">
        <v>183</v>
      </c>
    </row>
    <row r="5" spans="1:6" x14ac:dyDescent="0.3">
      <c r="A5" s="7" t="s">
        <v>1</v>
      </c>
      <c r="B5" s="11" t="s">
        <v>215</v>
      </c>
      <c r="C5" s="11" t="s">
        <v>10</v>
      </c>
      <c r="D5" s="11" t="s">
        <v>216</v>
      </c>
      <c r="E5" s="8" t="s">
        <v>217</v>
      </c>
    </row>
    <row r="6" spans="1:6" x14ac:dyDescent="0.3">
      <c r="A6" s="7" t="s">
        <v>2</v>
      </c>
      <c r="B6" s="11" t="s">
        <v>218</v>
      </c>
      <c r="C6" s="11" t="s">
        <v>12</v>
      </c>
      <c r="D6" s="11" t="s">
        <v>218</v>
      </c>
      <c r="E6" s="8" t="s">
        <v>153</v>
      </c>
    </row>
    <row r="7" spans="1:6" x14ac:dyDescent="0.3">
      <c r="A7" s="7" t="s">
        <v>3</v>
      </c>
      <c r="B7" s="11" t="s">
        <v>215</v>
      </c>
      <c r="C7" s="11" t="s">
        <v>15</v>
      </c>
      <c r="D7" s="11" t="s">
        <v>219</v>
      </c>
      <c r="E7" s="8" t="s">
        <v>220</v>
      </c>
    </row>
    <row r="8" spans="1:6" x14ac:dyDescent="0.3">
      <c r="A8" s="7" t="s">
        <v>4</v>
      </c>
      <c r="B8" s="11" t="s">
        <v>219</v>
      </c>
      <c r="C8" s="11" t="s">
        <v>19</v>
      </c>
      <c r="D8" s="11" t="s">
        <v>218</v>
      </c>
      <c r="E8" s="8" t="s">
        <v>221</v>
      </c>
    </row>
    <row r="9" spans="1:6" x14ac:dyDescent="0.3">
      <c r="A9" s="7" t="s">
        <v>5</v>
      </c>
      <c r="B9" s="11" t="s">
        <v>219</v>
      </c>
      <c r="C9" s="11" t="s">
        <v>23</v>
      </c>
      <c r="D9" s="11" t="s">
        <v>219</v>
      </c>
      <c r="E9" s="8" t="s">
        <v>164</v>
      </c>
    </row>
    <row r="10" spans="1:6" x14ac:dyDescent="0.3">
      <c r="A10" s="7" t="s">
        <v>6</v>
      </c>
      <c r="B10" s="11" t="s">
        <v>219</v>
      </c>
      <c r="C10" s="11" t="s">
        <v>25</v>
      </c>
      <c r="D10" s="11" t="s">
        <v>218</v>
      </c>
      <c r="E10" s="8" t="s">
        <v>222</v>
      </c>
    </row>
    <row r="11" spans="1:6" x14ac:dyDescent="0.3">
      <c r="A11" s="7" t="s">
        <v>7</v>
      </c>
      <c r="B11" s="11" t="s">
        <v>223</v>
      </c>
      <c r="C11" s="11" t="s">
        <v>28</v>
      </c>
      <c r="D11" s="11" t="s">
        <v>224</v>
      </c>
      <c r="E11" s="8" t="s">
        <v>225</v>
      </c>
    </row>
    <row r="14" spans="1:6" ht="15.6" x14ac:dyDescent="0.3">
      <c r="A14" s="14" t="s">
        <v>226</v>
      </c>
    </row>
    <row r="15" spans="1:6" x14ac:dyDescent="0.3">
      <c r="A15" s="6" t="s">
        <v>86</v>
      </c>
      <c r="B15" s="6" t="s">
        <v>227</v>
      </c>
      <c r="C15" s="6" t="s">
        <v>228</v>
      </c>
      <c r="D15" s="6" t="s">
        <v>173</v>
      </c>
      <c r="E15" s="6" t="s">
        <v>229</v>
      </c>
    </row>
    <row r="16" spans="1:6" x14ac:dyDescent="0.3">
      <c r="A16" s="7" t="s">
        <v>1</v>
      </c>
      <c r="B16" s="11" t="s">
        <v>184</v>
      </c>
      <c r="C16" s="11" t="s">
        <v>216</v>
      </c>
      <c r="D16" s="11" t="s">
        <v>230</v>
      </c>
      <c r="E16" s="11" t="s">
        <v>231</v>
      </c>
    </row>
    <row r="17" spans="1:5" x14ac:dyDescent="0.3">
      <c r="A17" s="7" t="s">
        <v>2</v>
      </c>
      <c r="B17" s="11" t="s">
        <v>185</v>
      </c>
      <c r="C17" s="11" t="s">
        <v>218</v>
      </c>
      <c r="D17" s="11" t="s">
        <v>232</v>
      </c>
      <c r="E17" s="11" t="s">
        <v>231</v>
      </c>
    </row>
    <row r="18" spans="1:5" x14ac:dyDescent="0.3">
      <c r="A18" s="7" t="s">
        <v>3</v>
      </c>
      <c r="B18" s="11" t="s">
        <v>187</v>
      </c>
      <c r="C18" s="11" t="s">
        <v>219</v>
      </c>
      <c r="D18" s="11" t="s">
        <v>233</v>
      </c>
      <c r="E18" s="11" t="s">
        <v>231</v>
      </c>
    </row>
    <row r="19" spans="1:5" x14ac:dyDescent="0.3">
      <c r="A19" s="7" t="s">
        <v>4</v>
      </c>
      <c r="B19" s="11" t="s">
        <v>190</v>
      </c>
      <c r="C19" s="11" t="s">
        <v>218</v>
      </c>
      <c r="D19" s="11" t="s">
        <v>234</v>
      </c>
      <c r="E19" s="11" t="s">
        <v>231</v>
      </c>
    </row>
    <row r="20" spans="1:5" x14ac:dyDescent="0.3">
      <c r="A20" s="7" t="s">
        <v>5</v>
      </c>
      <c r="B20" s="11" t="s">
        <v>186</v>
      </c>
      <c r="C20" s="11" t="s">
        <v>219</v>
      </c>
      <c r="D20" s="11" t="s">
        <v>235</v>
      </c>
      <c r="E20" s="11" t="s">
        <v>231</v>
      </c>
    </row>
    <row r="21" spans="1:5" x14ac:dyDescent="0.3">
      <c r="A21" s="7" t="s">
        <v>6</v>
      </c>
      <c r="B21" s="11" t="s">
        <v>189</v>
      </c>
      <c r="C21" s="11" t="s">
        <v>218</v>
      </c>
      <c r="D21" s="11" t="s">
        <v>236</v>
      </c>
      <c r="E21" s="11" t="s">
        <v>237</v>
      </c>
    </row>
    <row r="22" spans="1:5" x14ac:dyDescent="0.3">
      <c r="A22" s="7" t="s">
        <v>7</v>
      </c>
      <c r="B22" s="11" t="s">
        <v>194</v>
      </c>
      <c r="C22" s="11" t="s">
        <v>224</v>
      </c>
      <c r="D22" s="11" t="s">
        <v>238</v>
      </c>
      <c r="E22" s="11" t="s">
        <v>237</v>
      </c>
    </row>
    <row r="25" spans="1:5" ht="15.6" x14ac:dyDescent="0.3">
      <c r="A25" s="14" t="s">
        <v>239</v>
      </c>
    </row>
    <row r="26" spans="1:5" x14ac:dyDescent="0.3">
      <c r="A26" s="6" t="s">
        <v>240</v>
      </c>
      <c r="B26" s="6" t="s">
        <v>241</v>
      </c>
      <c r="C26" s="6" t="s">
        <v>242</v>
      </c>
      <c r="D26" s="6" t="s">
        <v>243</v>
      </c>
      <c r="E26" s="6" t="s">
        <v>244</v>
      </c>
    </row>
    <row r="27" spans="1:5" x14ac:dyDescent="0.3">
      <c r="A27" s="3" t="s">
        <v>197</v>
      </c>
      <c r="B27" s="8" t="s">
        <v>245</v>
      </c>
      <c r="C27" s="8" t="s">
        <v>246</v>
      </c>
      <c r="D27" s="8" t="s">
        <v>246</v>
      </c>
      <c r="E27" s="18" t="s">
        <v>247</v>
      </c>
    </row>
    <row r="28" spans="1:5" x14ac:dyDescent="0.3">
      <c r="A28" s="3" t="s">
        <v>199</v>
      </c>
      <c r="B28" s="8" t="s">
        <v>248</v>
      </c>
      <c r="C28" s="8" t="s">
        <v>249</v>
      </c>
      <c r="D28" s="8" t="s">
        <v>250</v>
      </c>
      <c r="E28" s="18" t="s">
        <v>247</v>
      </c>
    </row>
    <row r="29" spans="1:5" x14ac:dyDescent="0.3">
      <c r="A29" s="3" t="s">
        <v>251</v>
      </c>
      <c r="B29" s="8" t="s">
        <v>252</v>
      </c>
      <c r="C29" s="8" t="s">
        <v>253</v>
      </c>
      <c r="D29" s="8" t="s">
        <v>254</v>
      </c>
      <c r="E29" s="18" t="s">
        <v>247</v>
      </c>
    </row>
    <row r="30" spans="1:5" x14ac:dyDescent="0.3">
      <c r="A30" s="3" t="s">
        <v>255</v>
      </c>
      <c r="B30" s="8" t="s">
        <v>256</v>
      </c>
      <c r="C30" s="8" t="s">
        <v>257</v>
      </c>
      <c r="D30" s="8" t="s">
        <v>258</v>
      </c>
      <c r="E30" s="18" t="s">
        <v>247</v>
      </c>
    </row>
    <row r="31" spans="1:5" x14ac:dyDescent="0.3">
      <c r="A31" s="3" t="s">
        <v>201</v>
      </c>
      <c r="B31" s="8" t="s">
        <v>259</v>
      </c>
      <c r="C31" s="8" t="s">
        <v>260</v>
      </c>
      <c r="D31" s="8" t="s">
        <v>260</v>
      </c>
      <c r="E31" s="18" t="s">
        <v>247</v>
      </c>
    </row>
    <row r="32" spans="1:5" x14ac:dyDescent="0.3">
      <c r="A32" s="2" t="s">
        <v>203</v>
      </c>
      <c r="B32" s="8" t="s">
        <v>261</v>
      </c>
      <c r="C32" s="8" t="s">
        <v>262</v>
      </c>
      <c r="D32" s="8" t="s">
        <v>263</v>
      </c>
      <c r="E32" s="18" t="s">
        <v>247</v>
      </c>
    </row>
    <row r="33" spans="1:6" x14ac:dyDescent="0.3">
      <c r="A33" s="2" t="s">
        <v>205</v>
      </c>
      <c r="B33" s="8" t="s">
        <v>264</v>
      </c>
      <c r="C33" s="8" t="s">
        <v>265</v>
      </c>
      <c r="D33" s="8" t="s">
        <v>265</v>
      </c>
      <c r="E33" s="18" t="s">
        <v>247</v>
      </c>
    </row>
    <row r="34" spans="1:6" x14ac:dyDescent="0.3">
      <c r="A34" s="2" t="s">
        <v>207</v>
      </c>
      <c r="B34" s="8" t="s">
        <v>266</v>
      </c>
      <c r="C34" s="8" t="s">
        <v>267</v>
      </c>
      <c r="D34" s="8" t="s">
        <v>268</v>
      </c>
      <c r="E34" s="18" t="s">
        <v>247</v>
      </c>
    </row>
    <row r="35" spans="1:6" x14ac:dyDescent="0.3">
      <c r="A35" s="2" t="s">
        <v>209</v>
      </c>
      <c r="B35" s="8" t="s">
        <v>269</v>
      </c>
      <c r="C35" s="8" t="s">
        <v>270</v>
      </c>
      <c r="D35" s="8" t="s">
        <v>271</v>
      </c>
      <c r="E35" s="18" t="s">
        <v>247</v>
      </c>
    </row>
    <row r="36" spans="1:6" x14ac:dyDescent="0.3">
      <c r="A36" s="2" t="s">
        <v>211</v>
      </c>
      <c r="B36" s="8" t="s">
        <v>272</v>
      </c>
      <c r="C36" s="8" t="s">
        <v>273</v>
      </c>
      <c r="D36" s="8" t="s">
        <v>274</v>
      </c>
      <c r="E36" s="18" t="s">
        <v>247</v>
      </c>
    </row>
    <row r="39" spans="1:6" x14ac:dyDescent="0.3">
      <c r="A39" s="19" t="s">
        <v>275</v>
      </c>
    </row>
    <row r="40" spans="1:6" x14ac:dyDescent="0.3">
      <c r="A40" s="24" t="s">
        <v>276</v>
      </c>
      <c r="B40" s="24"/>
      <c r="C40" s="24"/>
      <c r="D40" s="24"/>
      <c r="E40" s="24"/>
      <c r="F40" s="24"/>
    </row>
    <row r="41" spans="1:6" x14ac:dyDescent="0.3">
      <c r="A41" s="24" t="s">
        <v>277</v>
      </c>
      <c r="B41" s="24"/>
      <c r="C41" s="24"/>
      <c r="D41" s="24"/>
      <c r="E41" s="24"/>
      <c r="F41" s="24"/>
    </row>
    <row r="42" spans="1:6" x14ac:dyDescent="0.3">
      <c r="A42" s="24" t="s">
        <v>278</v>
      </c>
      <c r="B42" s="24"/>
      <c r="C42" s="24"/>
      <c r="D42" s="24"/>
      <c r="E42" s="24"/>
      <c r="F42" s="24"/>
    </row>
    <row r="43" spans="1:6" x14ac:dyDescent="0.3">
      <c r="A43" s="24" t="s">
        <v>279</v>
      </c>
      <c r="B43" s="24"/>
      <c r="C43" s="24"/>
      <c r="D43" s="24"/>
      <c r="E43" s="24"/>
      <c r="F43" s="24"/>
    </row>
    <row r="44" spans="1:6" x14ac:dyDescent="0.3">
      <c r="A44" s="24" t="s">
        <v>280</v>
      </c>
      <c r="B44" s="24"/>
      <c r="C44" s="24"/>
      <c r="D44" s="24"/>
      <c r="E44" s="24"/>
      <c r="F44" s="24"/>
    </row>
    <row r="45" spans="1:6" x14ac:dyDescent="0.3">
      <c r="A45" s="24" t="s">
        <v>281</v>
      </c>
      <c r="B45" s="24"/>
      <c r="C45" s="24"/>
      <c r="D45" s="24"/>
      <c r="E45" s="24"/>
      <c r="F45" s="24"/>
    </row>
  </sheetData>
  <mergeCells count="7">
    <mergeCell ref="A44:F44"/>
    <mergeCell ref="A45:F45"/>
    <mergeCell ref="A1:F1"/>
    <mergeCell ref="A40:F40"/>
    <mergeCell ref="A41:F41"/>
    <mergeCell ref="A42:F42"/>
    <mergeCell ref="A43:F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TeaStore Binary Matrix</vt:lpstr>
      <vt:lpstr>OTel Binary Matrix</vt:lpstr>
      <vt:lpstr>Jaccard Analysis</vt:lpstr>
      <vt:lpstr>TeaStore Analysis</vt:lpstr>
      <vt:lpstr>OTel &amp; Cross-SUT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Hrushitha Goud Tigulla</cp:lastModifiedBy>
  <cp:revision>0</cp:revision>
  <dcterms:created xsi:type="dcterms:W3CDTF">2026-04-21T23:20:20Z</dcterms:created>
  <dcterms:modified xsi:type="dcterms:W3CDTF">2026-05-04T16:23:58Z</dcterms:modified>
  <dc:language>en-US</dc:language>
</cp:coreProperties>
</file>